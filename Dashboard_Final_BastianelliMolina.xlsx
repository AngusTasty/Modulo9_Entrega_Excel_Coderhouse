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z\Desktop\Curso\1 Excel\9. Modulo 9\"/>
    </mc:Choice>
  </mc:AlternateContent>
  <xr:revisionPtr revIDLastSave="0" documentId="13_ncr:1_{817FEFAE-2AA0-4020-A6CA-1889CF58C36F}" xr6:coauthVersionLast="47" xr6:coauthVersionMax="47" xr10:uidLastSave="{00000000-0000-0000-0000-000000000000}"/>
  <bookViews>
    <workbookView xWindow="-120" yWindow="-120" windowWidth="24240" windowHeight="13140" xr2:uid="{193BBCD5-CB78-4DCF-A54D-0A6A689AB5B3}"/>
  </bookViews>
  <sheets>
    <sheet name="Dashboard Final" sheetId="11" r:id="rId1"/>
    <sheet name="Soporte_Dashboard" sheetId="12" state="hidden" r:id="rId2"/>
    <sheet name="Config" sheetId="2" state="hidden" r:id="rId3"/>
  </sheets>
  <definedNames>
    <definedName name="_xlchart.v1.0" hidden="1">Soporte_Dashboard!$J$3:$J$7</definedName>
    <definedName name="_xlchart.v1.1" hidden="1">Soporte_Dashboard!$K$3:$K$7</definedName>
    <definedName name="Beneficio_Neto">#REF!</definedName>
    <definedName name="Costo_Pct">#REF!</definedName>
    <definedName name="Gastos_Fijos">#REF!</definedName>
    <definedName name="Margen_Bruto">#REF!</definedName>
    <definedName name="SegmentaciónDeDatos_Ciudad">#N/A</definedName>
    <definedName name="SegmentaciónDeDatos_Familia">#N/A</definedName>
    <definedName name="SegmentaciónDeDatos_Nro_Mes">#N/A</definedName>
    <definedName name="Var_Demanda">#REF!</definedName>
    <definedName name="Var_Precio">#REF!</definedName>
    <definedName name="Venta_2027">#REF!</definedName>
    <definedName name="Venta_base">#REF!</definedName>
  </definedNames>
  <calcPr calcId="191029"/>
  <pivotCaches>
    <pivotCache cacheId="734" r:id="rId4"/>
    <pivotCache cacheId="990" r:id="rId5"/>
    <pivotCache cacheId="993" r:id="rId6"/>
  </pivotCaches>
  <extLst>
    <ext xmlns:x14="http://schemas.microsoft.com/office/spreadsheetml/2009/9/main" uri="{876F7934-8845-4945-9796-88D515C7AA90}">
      <x14:pivotCaches>
        <pivotCache cacheId="729" r:id="rId7"/>
      </x14:pivotCaches>
    </ex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Ventas_a0e9bc40-0ae3-433b-8e35-a0bee779be3b" name="Fact_Ventas" connection="Consulta - Fact_Ventas"/>
          <x15:modelTable id="Dim_Clientes_4d4f820f-cb9d-4ecb-ba7d-37ccb397b094" name="Dim_Clientes" connection="Consulta - Dim_Clientes"/>
          <x15:modelTable id="Dim_Productos_0b5ac25c-14a0-4e28-91d7-ce92625b8182" name="Dim_Productos" connection="Consulta - Dim_Productos"/>
          <x15:modelTable id="Dim_Vendedores_77509c64-5afe-453d-9dcb-685724a00394" name="Dim_Vendedores" connection="Consulta - Dim_Vendedores"/>
          <x15:modelTable id="Dim_Calendario_5dda1d48-a5dc-450b-89a8-21fec8c89ba9" name="Dim_Calendario" connection="Consulta - Dim_Calendario"/>
        </x15:modelTables>
        <x15:modelRelationships>
          <x15:modelRelationship fromTable="Fact_Ventas" fromColumn="ID_Producto" toTable="Dim_Productos" toColumn="ID_Producto"/>
          <x15:modelRelationship fromTable="Fact_Ventas" fromColumn="ID_Cliente" toTable="Dim_Clientes" toColumn="ID_Cliente"/>
          <x15:modelRelationship fromTable="Fact_Ventas" fromColumn="ID_Vendedor" toTable="Dim_Vendedores" toColumn="ID_Vendedor"/>
          <x15:modelRelationship fromTable="Fact_Ventas" fromColumn="Fecha_Factura" toTable="Dim_Calendario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2" l="1"/>
  <c r="Q8" i="12" s="1"/>
  <c r="Q11" i="12" s="1"/>
  <c r="L25" i="11" s="1"/>
  <c r="Q5" i="12"/>
  <c r="Q6" i="12" s="1"/>
  <c r="Q4" i="12"/>
  <c r="Q3" i="12"/>
  <c r="Q14" i="12" s="1" a="1"/>
  <c r="N6" i="12"/>
  <c r="J6" i="11" s="1"/>
  <c r="N4" i="12"/>
  <c r="F7" i="11" s="1"/>
  <c r="N3" i="12"/>
  <c r="K4" i="12"/>
  <c r="N7" i="12" s="1"/>
  <c r="K3" i="12"/>
  <c r="A2" i="2" a="1"/>
  <c r="N6" i="11" l="1"/>
  <c r="Q10" i="12"/>
  <c r="L23" i="11" s="1"/>
  <c r="N5" i="12"/>
  <c r="B3" i="11" s="1"/>
  <c r="B6" i="11"/>
  <c r="K5" i="12"/>
  <c r="F6" i="11" l="1"/>
  <c r="K6" i="12"/>
  <c r="K7" i="12" s="1"/>
  <c r="Q12" i="12" s="1"/>
  <c r="L27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C1EDF4-CFCC-499F-995C-E6D43B5BB977}" name="Consulta - Dim_Calendario" description="Conexión a la consulta 'Dim_Calendario' en el libro." type="100" refreshedVersion="8" minRefreshableVersion="5">
    <extLst>
      <ext xmlns:x15="http://schemas.microsoft.com/office/spreadsheetml/2010/11/main" uri="{DE250136-89BD-433C-8126-D09CA5730AF9}">
        <x15:connection id="2dac3827-e095-4fa8-9490-e2c1f9d15650">
          <x15:oledbPr connection="Provider=Microsoft.Mashup.OleDb.1;Data Source=$Workbook$;Location=Dim_Calendario;Extended Properties=&quot;&quot;">
            <x15:dbTables>
              <x15:dbTable name="Dim_Calendario"/>
            </x15:dbTables>
          </x15:oledbPr>
        </x15:connection>
      </ext>
    </extLst>
  </connection>
  <connection id="2" xr16:uid="{22E8383B-E415-4DF5-855B-323D48A54178}" name="Consulta - Dim_Clientes" description="Conexión a la consulta 'Dim_Clientes' en el libro." type="100" refreshedVersion="8" minRefreshableVersion="5">
    <extLst>
      <ext xmlns:x15="http://schemas.microsoft.com/office/spreadsheetml/2010/11/main" uri="{DE250136-89BD-433C-8126-D09CA5730AF9}">
        <x15:connection id="5745b6e3-e6fd-4344-bcd6-5ca5b7ea4169"/>
      </ext>
    </extLst>
  </connection>
  <connection id="3" xr16:uid="{D2EBA921-5164-4FFA-8A47-D94DFEBA6673}" name="Consulta - Dim_Productos" description="Conexión a la consulta 'Dim_Productos' en el libro." type="100" refreshedVersion="8" minRefreshableVersion="5">
    <extLst>
      <ext xmlns:x15="http://schemas.microsoft.com/office/spreadsheetml/2010/11/main" uri="{DE250136-89BD-433C-8126-D09CA5730AF9}">
        <x15:connection id="7affe7c4-24c4-4922-b694-f61bb59d106b">
          <x15:oledbPr connection="Provider=Microsoft.Mashup.OleDb.1;Data Source=$Workbook$;Location=Dim_Productos;Extended Properties=&quot;&quot;">
            <x15:dbTables>
              <x15:dbTable name="Dim_Productos"/>
            </x15:dbTables>
          </x15:oledbPr>
        </x15:connection>
      </ext>
    </extLst>
  </connection>
  <connection id="4" xr16:uid="{D9BF4035-7819-4E61-B6EE-2AA28C6FBB31}" name="Consulta - Dim_Vendedores" description="Conexión a la consulta 'Dim_Vendedores' en el libro." type="100" refreshedVersion="8" minRefreshableVersion="5">
    <extLst>
      <ext xmlns:x15="http://schemas.microsoft.com/office/spreadsheetml/2010/11/main" uri="{DE250136-89BD-433C-8126-D09CA5730AF9}">
        <x15:connection id="b27d7ce4-46bb-4c27-a643-a682af4216c3"/>
      </ext>
    </extLst>
  </connection>
  <connection id="5" xr16:uid="{780A20D7-B2EA-4A25-83A3-3D66F7168702}" name="Consulta - Fact_Ventas" description="Conexión a la consulta 'Fact_Ventas' en el libro." type="100" refreshedVersion="8" minRefreshableVersion="5">
    <extLst>
      <ext xmlns:x15="http://schemas.microsoft.com/office/spreadsheetml/2010/11/main" uri="{DE250136-89BD-433C-8126-D09CA5730AF9}">
        <x15:connection id="29882c43-3d15-4554-8e5e-7e445e506781">
          <x15:oledbPr connection="Provider=Microsoft.Mashup.OleDb.1;Data Source=$Workbook$;Location=Fact_Ventas;Extended Properties=&quot;&quot;">
            <x15:dbTables>
              <x15:dbTable name="Fact_Ventas"/>
            </x15:dbTables>
          </x15:oledbPr>
        </x15:connection>
      </ext>
    </extLst>
  </connection>
  <connection id="6" xr16:uid="{937A0E98-83FC-475D-BBD6-134F9F82870A}" keepAlive="1" name="Consulta - RutaBase" description="Conexión a la consulta 'RutaBase' en el libro." type="5" refreshedVersion="0" background="1">
    <dbPr connection="Provider=Microsoft.Mashup.OleDb.1;Data Source=$Workbook$;Location=RutaBase;Extended Properties=&quot;&quot;" command="SELECT * FROM [RutaBase]"/>
  </connection>
  <connection id="7" xr16:uid="{8D324256-3A95-4FB8-9F2B-1E35C52FA200}" keepAlive="1" name="Consulta - Ticket_x_Familia" description="Conexión a la consulta 'Ticket_x_Familia' en el libro." type="5" refreshedVersion="8" background="1" saveData="1">
    <dbPr connection="Provider=Microsoft.Mashup.OleDb.1;Data Source=$Workbook$;Location=Ticket_x_Familia;Extended Properties=&quot;&quot;" command="SELECT * FROM [Ticket_x_Familia]"/>
  </connection>
  <connection id="8" xr16:uid="{C4984B58-77E8-4B1E-A0A5-7ED6DC454E1F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9">
    <s v="ThisWorkbookDataModel"/>
    <s v="{[Dim_Productos].[Familia].[All]}"/>
    <s v="{[Dim_Clientes].[Ciudad].[All]}"/>
    <s v="{[Dim_Calendario].[Nro_Mes].[All]}"/>
    <s v="[Measures].[Ventas Brutas]"/>
    <s v="[Measures].[Notas de Credito]"/>
    <s v="[Measures].[Total Ventas]"/>
    <s v="[Measures].[Meta Ventas]"/>
    <s v="[Measures].[Precio Prom x Kg]"/>
  </metadataStrings>
  <mdxMetadata count="5">
    <mdx n="0" f="v">
      <t c="4" fi="0">
        <n x="4"/>
        <n x="1" s="1"/>
        <n x="2" s="1"/>
        <n x="3" s="1"/>
      </t>
    </mdx>
    <mdx n="0" f="v">
      <t c="4" fi="0">
        <n x="5"/>
        <n x="1" s="1"/>
        <n x="2" s="1"/>
        <n x="3" s="1"/>
      </t>
    </mdx>
    <mdx n="0" f="v">
      <t c="4" fi="0">
        <n x="6"/>
        <n x="1" s="1"/>
        <n x="2" s="1"/>
        <n x="3" s="1"/>
      </t>
    </mdx>
    <mdx n="0" f="v">
      <t c="4" fi="0">
        <n x="7"/>
        <n x="1" s="1"/>
        <n x="2" s="1"/>
        <n x="3" s="1"/>
      </t>
    </mdx>
    <mdx n="0" f="v">
      <t c="4" fi="0">
        <n x="8"/>
        <n x="1" s="1"/>
        <n x="2" s="1"/>
        <n x="3" s="1"/>
      </t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<sst xmlns="http://schemas.openxmlformats.org/spreadsheetml/2006/main" count="57" uniqueCount="53">
  <si>
    <t>Ruta</t>
  </si>
  <si>
    <t>Enero</t>
  </si>
  <si>
    <t>Febrero</t>
  </si>
  <si>
    <t>Marzo</t>
  </si>
  <si>
    <t>Abril</t>
  </si>
  <si>
    <t>Mayo</t>
  </si>
  <si>
    <t>Junio</t>
  </si>
  <si>
    <t>Julio</t>
  </si>
  <si>
    <t>Total general</t>
  </si>
  <si>
    <t>Total Ventas</t>
  </si>
  <si>
    <t>Margen bruto</t>
  </si>
  <si>
    <t>Meses</t>
  </si>
  <si>
    <t>Ciudad</t>
  </si>
  <si>
    <t>Meta Ventas</t>
  </si>
  <si>
    <t>Cumplimiento %</t>
  </si>
  <si>
    <t>Cañadon Seco</t>
  </si>
  <si>
    <t>Las Heras</t>
  </si>
  <si>
    <t>Puerto San Julian</t>
  </si>
  <si>
    <t>Los Antiguos</t>
  </si>
  <si>
    <t>Rada Tilly</t>
  </si>
  <si>
    <t>Sarmiento</t>
  </si>
  <si>
    <t>Pico Truncado</t>
  </si>
  <si>
    <t>Puerto Deseado</t>
  </si>
  <si>
    <t>Caleta Olivia</t>
  </si>
  <si>
    <t>Comodoro Rivadavia</t>
  </si>
  <si>
    <t>Venta bruta</t>
  </si>
  <si>
    <t>Venta Neta</t>
  </si>
  <si>
    <t>Notas de credito</t>
  </si>
  <si>
    <t>Costo (65%)</t>
  </si>
  <si>
    <t>Meta</t>
  </si>
  <si>
    <t>Cumplimiento</t>
  </si>
  <si>
    <t>Precio x kg</t>
  </si>
  <si>
    <t>NC % venta bruta</t>
  </si>
  <si>
    <t>Cumplimiento vs meta</t>
  </si>
  <si>
    <t>Precio Promedio x Kilo</t>
  </si>
  <si>
    <t>La venta total menos las NC</t>
  </si>
  <si>
    <t>NC %</t>
  </si>
  <si>
    <t>Porcentaje de devoluciones en $</t>
  </si>
  <si>
    <t>Fact $ sobre la cantidad Kilos del producto</t>
  </si>
  <si>
    <t>Meses con Venta</t>
  </si>
  <si>
    <t>Meses con Sobre Venta</t>
  </si>
  <si>
    <t>Venta Mejor Mes</t>
  </si>
  <si>
    <t>Mejor Mes</t>
  </si>
  <si>
    <t>Venta Top Ciudad</t>
  </si>
  <si>
    <t>Top Ciudad</t>
  </si>
  <si>
    <t>Para el texto:</t>
  </si>
  <si>
    <t>Para Kpis:</t>
  </si>
  <si>
    <t>Para Cascada</t>
  </si>
  <si>
    <t>Lectura:</t>
  </si>
  <si>
    <t>Link 1</t>
  </si>
  <si>
    <t>Link 2</t>
  </si>
  <si>
    <t>Link 3</t>
  </si>
  <si>
    <t>Performance Comercial Vs Metas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</si>
</sst>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74" formatCode="&quot;$&quot;\ #,##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color theme="1"/>
      <name val="Aptos Narrow"/>
      <family val="2"/>
      <scheme val="minor"/>
    </font>
    <font>
      <sz val="8"/>
      <color theme="1" tint="0.3499862666707357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b/>
      <sz val="8"/>
      <color rgb="FFE8A33D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rgb="FF1F3864"/>
      <name val="Aptos Narrow"/>
      <family val="2"/>
      <scheme val="minor"/>
    </font>
    <font>
      <b/>
      <sz val="9"/>
      <color rgb="FFE8A33D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0" fillId="0" borderId="0" xfId="0" pivotButton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2" fillId="0" borderId="0" xfId="0" applyFont="1"/>
    <xf numFmtId="0" fontId="0" fillId="3" borderId="0" xfId="0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1" applyNumberFormat="1" applyFont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9" fontId="0" fillId="0" borderId="0" xfId="2" applyFont="1"/>
    <xf numFmtId="0" fontId="0" fillId="4" borderId="0" xfId="0" applyFill="1" applyBorder="1"/>
    <xf numFmtId="0" fontId="0" fillId="4" borderId="7" xfId="0" applyFill="1" applyBorder="1"/>
    <xf numFmtId="0" fontId="0" fillId="4" borderId="8" xfId="0" applyFill="1" applyBorder="1"/>
    <xf numFmtId="0" fontId="5" fillId="4" borderId="1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174" fontId="7" fillId="4" borderId="4" xfId="1" applyNumberFormat="1" applyFont="1" applyFill="1" applyBorder="1" applyAlignment="1">
      <alignment horizontal="center" vertical="center"/>
    </xf>
    <xf numFmtId="174" fontId="7" fillId="4" borderId="0" xfId="1" applyNumberFormat="1" applyFont="1" applyFill="1" applyBorder="1" applyAlignment="1">
      <alignment horizontal="center" vertical="center"/>
    </xf>
    <xf numFmtId="174" fontId="7" fillId="4" borderId="5" xfId="1" applyNumberFormat="1" applyFont="1" applyFill="1" applyBorder="1" applyAlignment="1">
      <alignment horizontal="center" vertical="center"/>
    </xf>
    <xf numFmtId="0" fontId="8" fillId="4" borderId="6" xfId="0" applyFont="1" applyFill="1" applyBorder="1"/>
    <xf numFmtId="10" fontId="7" fillId="4" borderId="4" xfId="2" applyNumberFormat="1" applyFont="1" applyFill="1" applyBorder="1" applyAlignment="1">
      <alignment horizontal="center" vertical="center"/>
    </xf>
    <xf numFmtId="10" fontId="7" fillId="4" borderId="0" xfId="2" applyNumberFormat="1" applyFont="1" applyFill="1" applyBorder="1" applyAlignment="1">
      <alignment horizontal="center" vertical="center"/>
    </xf>
    <xf numFmtId="10" fontId="7" fillId="4" borderId="5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5" borderId="0" xfId="0" applyFill="1"/>
    <xf numFmtId="164" fontId="2" fillId="0" borderId="0" xfId="1" applyNumberFormat="1" applyFont="1" applyAlignment="1">
      <alignment horizontal="center"/>
    </xf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5" fillId="4" borderId="10" xfId="0" applyFont="1" applyFill="1" applyBorder="1" applyAlignment="1"/>
    <xf numFmtId="0" fontId="6" fillId="4" borderId="12" xfId="0" applyFont="1" applyFill="1" applyBorder="1"/>
    <xf numFmtId="0" fontId="6" fillId="4" borderId="9" xfId="0" applyFont="1" applyFill="1" applyBorder="1"/>
    <xf numFmtId="0" fontId="9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/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</cellXfs>
  <cellStyles count="3">
    <cellStyle name="Moneda" xfId="1" builtinId="4"/>
    <cellStyle name="Normal" xfId="0" builtinId="0"/>
    <cellStyle name="Porcentaje" xfId="2" builtinId="5"/>
  </cellStyles>
  <dxfs count="134">
    <dxf>
      <fill>
        <patternFill>
          <bgColor rgb="FFC00000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font>
        <color rgb="FF1F3864"/>
      </font>
    </dxf>
    <dxf>
      <fill>
        <patternFill>
          <bgColor rgb="FFC00000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1F3864"/>
      </font>
    </dxf>
    <dxf>
      <fill>
        <patternFill>
          <bgColor rgb="FFC00000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ont>
        <color rgb="FFC00000"/>
      </font>
      <fill>
        <patternFill patternType="none">
          <bgColor auto="1"/>
        </patternFill>
      </fill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3" formatCode="0%"/>
    </dxf>
    <dxf>
      <alignment horizontal="center"/>
    </dxf>
    <dxf>
      <numFmt numFmtId="164" formatCode="_-&quot;$&quot;\ * #,##0_-;\-&quot;$&quot;\ * #,##0_-;_-&quot;$&quot;\ * &quot;-&quot;??_-;_-@_-"/>
    </dxf>
    <dxf>
      <alignment horizontal="center"/>
    </dxf>
    <dxf>
      <numFmt numFmtId="13" formatCode="0%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</dxfs>
  <tableStyles count="0" defaultTableStyle="TableStyleMedium2" defaultPivotStyle="PivotStyleLight16"/>
  <colors>
    <mruColors>
      <color rgb="FFFBEFDD"/>
      <color rgb="FFE8A33D"/>
      <color rgb="FFF2F2F2"/>
      <color rgb="FF1F3864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K3" s="12"/>
        <tr r="K3" s="12"/>
        <tr r="K3" s="12"/>
        <tr r="K3" s="12"/>
        <tr r="K4" s="12"/>
        <tr r="K4" s="12"/>
        <tr r="K4" s="12"/>
        <tr r="K4" s="12"/>
        <tr r="N3" s="12"/>
        <tr r="N3" s="12"/>
        <tr r="N3" s="12"/>
        <tr r="N3" s="12"/>
        <tr r="N4" s="12"/>
        <tr r="N4" s="12"/>
        <tr r="N4" s="12"/>
        <tr r="N4" s="12"/>
        <tr r="N6" s="12"/>
        <tr r="N6" s="12"/>
        <tr r="N6" s="12"/>
        <tr r="N6" s="12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volatileDependencies" Target="volatileDependencies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pivotCacheDefinition" Target="pivotCache/pivotCacheDefinition2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[Dashboard_Final_BastianelliMolina.xlsx.xlsx]Soporte_Dashboard!TD_Mes</c:name>
    <c:fmtId val="6"/>
  </c:pivotSource>
  <c:chart>
    <c:autoTitleDeleted val="0"/>
    <c:pivotFmts>
      <c:pivotFmt>
        <c:idx val="0"/>
        <c:spPr>
          <a:solidFill>
            <a:srgbClr val="1F38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8A33D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solidFill>
              <a:srgbClr val="F2F2F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F38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8A3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solidFill>
              <a:srgbClr val="F2F2F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F38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8A3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solidFill>
              <a:srgbClr val="F2F2F2">
                <a:alpha val="98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Soporte_Dashboard!$C$2</c:f>
              <c:strCache>
                <c:ptCount val="1"/>
                <c:pt idx="0">
                  <c:v>Total Ventas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Soporte_Dashboard!$B$3:$B$10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f>Soporte_Dashboard!$C$3:$C$10</c:f>
              <c:numCache>
                <c:formatCode>_-"$"\ * #,##0_-;\-"$"\ * #,##0_-;_-"$"\ * "-"??_-;_-@_-</c:formatCode>
                <c:ptCount val="7"/>
                <c:pt idx="0">
                  <c:v>21780524.219999999</c:v>
                </c:pt>
                <c:pt idx="1">
                  <c:v>39902338.130000003</c:v>
                </c:pt>
                <c:pt idx="2">
                  <c:v>47783921.020000003</c:v>
                </c:pt>
                <c:pt idx="3">
                  <c:v>21130082.32</c:v>
                </c:pt>
                <c:pt idx="4">
                  <c:v>29420374.300000001</c:v>
                </c:pt>
                <c:pt idx="5">
                  <c:v>29407932.84</c:v>
                </c:pt>
                <c:pt idx="6">
                  <c:v>28782932.420000002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9-4B12-9E08-9F1E201D659F}"/>
            </c:ext>
          </c:extLst>
        </c:ser>
        <c:ser>
          <c:idx val="1"/>
          <c:order val="1"/>
          <c:tx>
            <c:strRef>
              <c:f>Soporte_Dashboard!$D$2</c:f>
              <c:strCache>
                <c:ptCount val="1"/>
                <c:pt idx="0">
                  <c:v>Meta Ventas</c:v>
                </c:pt>
              </c:strCache>
            </c:strRef>
          </c:tx>
          <c:spPr>
            <a:solidFill>
              <a:srgbClr val="E8A33D"/>
            </a:solidFill>
            <a:ln>
              <a:noFill/>
            </a:ln>
            <a:effectLst/>
          </c:spPr>
          <c:invertIfNegative val="0"/>
          <c:cat>
            <c:strRef>
              <c:f>Soporte_Dashboard!$B$3:$B$10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f>Soporte_Dashboard!$D$3:$D$10</c:f>
              <c:numCache>
                <c:formatCode>_-"$"\ * #,##0_-;\-"$"\ * #,##0_-;_-"$"\ * "-"??_-;_-@_-</c:formatCode>
                <c:ptCount val="7"/>
                <c:pt idx="0">
                  <c:v>35714285.710000001</c:v>
                </c:pt>
                <c:pt idx="1">
                  <c:v>35714285.710000001</c:v>
                </c:pt>
                <c:pt idx="2">
                  <c:v>35714285.710000001</c:v>
                </c:pt>
                <c:pt idx="3">
                  <c:v>35714285.710000001</c:v>
                </c:pt>
                <c:pt idx="4">
                  <c:v>35714285.710000001</c:v>
                </c:pt>
                <c:pt idx="5">
                  <c:v>35714285.710000001</c:v>
                </c:pt>
                <c:pt idx="6">
                  <c:v>35714285.710000001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9-4B12-9E08-9F1E201D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00116240"/>
        <c:axId val="417041856"/>
      </c:barChart>
      <c:lineChart>
        <c:grouping val="standard"/>
        <c:varyColors val="0"/>
        <c:ser>
          <c:idx val="2"/>
          <c:order val="2"/>
          <c:tx>
            <c:strRef>
              <c:f>Soporte_Dashboard!$E$2</c:f>
              <c:strCache>
                <c:ptCount val="1"/>
                <c:pt idx="0">
                  <c:v>Cumplimiento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solidFill>
                <a:srgbClr val="F2F2F2">
                  <a:alpha val="98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Soporte_Dashboard!$B$3:$B$10</c:f>
              <c:strCache>
                <c:ptCount val="7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</c:strCache>
            </c:strRef>
          </c:cat>
          <c:val>
            <c:numRef>
              <c:f>Soporte_Dashboard!$E$3:$E$10</c:f>
              <c:numCache>
                <c:formatCode>0%</c:formatCode>
                <c:ptCount val="7"/>
                <c:pt idx="0">
                  <c:v>0.60985467823318251</c:v>
                </c:pt>
                <c:pt idx="1">
                  <c:v>1.1172654677740719</c:v>
                </c:pt>
                <c:pt idx="2">
                  <c:v>1.337949788720554</c:v>
                </c:pt>
                <c:pt idx="3">
                  <c:v>0.59164230503099702</c:v>
                </c:pt>
                <c:pt idx="4">
                  <c:v>0.82377048049885249</c:v>
                </c:pt>
                <c:pt idx="5">
                  <c:v>0.82342211961881062</c:v>
                </c:pt>
                <c:pt idx="6">
                  <c:v>0.8059221078567107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B9-4B12-9E08-9F1E201D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140368"/>
        <c:axId val="2125565503"/>
      </c:lineChart>
      <c:catAx>
        <c:axId val="90011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7041856"/>
        <c:crosses val="autoZero"/>
        <c:auto val="1"/>
        <c:lblAlgn val="ctr"/>
        <c:lblOffset val="100"/>
        <c:noMultiLvlLbl val="0"/>
      </c:catAx>
      <c:valAx>
        <c:axId val="4170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,\ &quot;Mill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0116240"/>
        <c:crosses val="autoZero"/>
        <c:crossBetween val="between"/>
      </c:valAx>
      <c:valAx>
        <c:axId val="2125565503"/>
        <c:scaling>
          <c:orientation val="minMax"/>
          <c:max val="2"/>
          <c:min val="-2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00140368"/>
        <c:crosses val="max"/>
        <c:crossBetween val="between"/>
      </c:valAx>
      <c:catAx>
        <c:axId val="900140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5565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[Dashboard_Final_BastianelliMolina.xlsx.xlsx]Soporte_Dashboard!TD_Ciudad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8A33D">
                <a:alpha val="36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8A33D">
                <a:alpha val="36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386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Soporte_Dashboard!$H$2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Soporte_Dashboard!$G$3:$G$13</c:f>
              <c:strCache>
                <c:ptCount val="10"/>
                <c:pt idx="0">
                  <c:v>Cañadon Seco</c:v>
                </c:pt>
                <c:pt idx="1">
                  <c:v>Las Heras</c:v>
                </c:pt>
                <c:pt idx="2">
                  <c:v>Puerto San Julian</c:v>
                </c:pt>
                <c:pt idx="3">
                  <c:v>Los Antiguos</c:v>
                </c:pt>
                <c:pt idx="4">
                  <c:v>Rada Tilly</c:v>
                </c:pt>
                <c:pt idx="5">
                  <c:v>Sarmiento</c:v>
                </c:pt>
                <c:pt idx="6">
                  <c:v>Pico Truncado</c:v>
                </c:pt>
                <c:pt idx="7">
                  <c:v>Puerto Deseado</c:v>
                </c:pt>
                <c:pt idx="8">
                  <c:v>Caleta Olivia</c:v>
                </c:pt>
                <c:pt idx="9">
                  <c:v>Comodoro Rivadavia</c:v>
                </c:pt>
              </c:strCache>
            </c:strRef>
          </c:cat>
          <c:val>
            <c:numRef>
              <c:f>Soporte_Dashboard!$H$3:$H$13</c:f>
              <c:numCache>
                <c:formatCode>_-"$"\ * #,##0_-;\-"$"\ * #,##0_-;_-"$"\ * "-"??_-;_-@_-</c:formatCode>
                <c:ptCount val="10"/>
                <c:pt idx="0">
                  <c:v>60415.32</c:v>
                </c:pt>
                <c:pt idx="1">
                  <c:v>162994.35</c:v>
                </c:pt>
                <c:pt idx="2">
                  <c:v>256014.96</c:v>
                </c:pt>
                <c:pt idx="3">
                  <c:v>443991.35</c:v>
                </c:pt>
                <c:pt idx="4">
                  <c:v>11857139.6</c:v>
                </c:pt>
                <c:pt idx="5">
                  <c:v>19207346.82</c:v>
                </c:pt>
                <c:pt idx="6">
                  <c:v>26530901.18</c:v>
                </c:pt>
                <c:pt idx="7">
                  <c:v>35479799</c:v>
                </c:pt>
                <c:pt idx="8">
                  <c:v>43452273.270000003</c:v>
                </c:pt>
                <c:pt idx="9">
                  <c:v>80757229.400000006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E-4962-895D-F60D3B121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axId val="900131088"/>
        <c:axId val="242501919"/>
      </c:barChart>
      <c:catAx>
        <c:axId val="90013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2501919"/>
        <c:crosses val="autoZero"/>
        <c:auto val="1"/>
        <c:lblAlgn val="ctr"/>
        <c:lblOffset val="100"/>
        <c:noMultiLvlLbl val="0"/>
      </c:catAx>
      <c:valAx>
        <c:axId val="2425019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90013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00000000-C244-4929-B848-E6EA4BF4C136}">
          <cx:spPr>
            <a:solidFill>
              <a:srgbClr val="1F3864"/>
            </a:solidFill>
          </cx:spPr>
          <cx:dataPt idx="1">
            <cx:spPr>
              <a:solidFill>
                <a:srgbClr val="E8A33D"/>
              </a:solidFill>
            </cx:spPr>
          </cx:dataPt>
          <cx:dataPt idx="3">
            <cx:spPr>
              <a:solidFill>
                <a:srgbClr val="E8A33D"/>
              </a:solidFill>
            </cx:spPr>
          </cx:dataPt>
          <cx:dataLabels pos="outEnd"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MX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Aptos Narrow" panose="02110004020202020204"/>
                    </a:rPr>
                    <a:t> $ 225.176.037 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MX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Aptos Narrow" panose="02110004020202020204"/>
                    </a:rPr>
                    <a:t>-$ 6.967.932 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MX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Aptos Narrow" panose="02110004020202020204"/>
                    </a:rPr>
                    <a:t> $ 218.208.105 </a:t>
                  </a:r>
                </a:p>
              </cx:txPr>
            </cx:dataLabel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MX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Aptos Narrow" panose="02110004020202020204"/>
                    </a:rPr>
                    <a:t>-$ 141.835.268 </a:t>
                  </a:r>
                </a:p>
              </cx:txPr>
            </cx:dataLabel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s-MX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Aptos Narrow" panose="02110004020202020204"/>
                    </a:rPr>
                    <a:t> $ 76.372.837 </a:t>
                  </a:r>
                </a:p>
              </cx:txPr>
            </cx:dataLabel>
          </cx:dataLabels>
          <cx:dataId val="0"/>
          <cx:layoutPr>
            <cx:visibility connectorLines="1"/>
            <cx:subtotals>
              <cx:idx val="2"/>
              <cx:idx val="4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 b="1"/>
            </a:pPr>
            <a:endParaRPr lang="es-MX" sz="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ckLabels/>
        <cx:numFmt formatCode="$ #.##0.. &quot;Mill&quot;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400">
                <a:solidFill>
                  <a:schemeClr val="bg1"/>
                </a:solidFill>
              </a:defRPr>
            </a:pPr>
            <a:endParaRPr lang="es-MX" sz="4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140115</xdr:colOff>
      <xdr:row>15</xdr:row>
      <xdr:rowOff>140154</xdr:rowOff>
    </xdr:from>
    <xdr:to>
      <xdr:col>4</xdr:col>
      <xdr:colOff>35416</xdr:colOff>
      <xdr:row>22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iudad">
              <a:extLst>
                <a:ext uri="{FF2B5EF4-FFF2-40B4-BE49-F238E27FC236}">
                  <a16:creationId xmlns:a16="http://schemas.microsoft.com/office/drawing/2014/main" id="{91238C88-C64E-4A2B-958F-3D88FAD741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115" y="2969079"/>
              <a:ext cx="2648026" cy="13838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123145</xdr:colOff>
      <xdr:row>8</xdr:row>
      <xdr:rowOff>114302</xdr:rowOff>
    </xdr:from>
    <xdr:to>
      <xdr:col>4</xdr:col>
      <xdr:colOff>52387</xdr:colOff>
      <xdr:row>15</xdr:row>
      <xdr:rowOff>5443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AA6F4021-9CF2-60DF-4A5F-E20DFDEAEEC3}"/>
            </a:ext>
          </a:extLst>
        </xdr:cNvPr>
        <xdr:cNvGrpSpPr/>
      </xdr:nvGrpSpPr>
      <xdr:grpSpPr>
        <a:xfrm>
          <a:off x="123145" y="1609727"/>
          <a:ext cx="2681967" cy="1224641"/>
          <a:chOff x="127908" y="1609727"/>
          <a:chExt cx="2681967" cy="1224641"/>
        </a:xfrm>
      </xdr:grpSpPr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4" name="Familia">
                <a:extLst>
                  <a:ext uri="{FF2B5EF4-FFF2-40B4-BE49-F238E27FC236}">
                    <a16:creationId xmlns:a16="http://schemas.microsoft.com/office/drawing/2014/main" id="{577DEAFA-8A05-4792-804F-958CBD925815}"/>
                  </a:ext>
                </a:extLst>
              </xdr:cNvPr>
              <xdr:cNvGraphicFramePr/>
            </xdr:nvGraphicFramePr>
            <xdr:xfrm>
              <a:off x="127908" y="1609727"/>
              <a:ext cx="1138918" cy="1224641"/>
            </xdr:xfrm>
            <a:graphic>
              <a:graphicData uri="http://schemas.microsoft.com/office/drawing/2010/slicer">
                <sle:slicer xmlns:sle="http://schemas.microsoft.com/office/drawing/2010/slicer" name="Familia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3145" y="1609727"/>
                <a:ext cx="1138918" cy="122464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AR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6" name="Nro_Mes">
                <a:extLst>
                  <a:ext uri="{FF2B5EF4-FFF2-40B4-BE49-F238E27FC236}">
                    <a16:creationId xmlns:a16="http://schemas.microsoft.com/office/drawing/2014/main" id="{F8802C4C-4F8E-4150-8C1F-DDAFF0D88606}"/>
                  </a:ext>
                </a:extLst>
              </xdr:cNvPr>
              <xdr:cNvGraphicFramePr/>
            </xdr:nvGraphicFramePr>
            <xdr:xfrm>
              <a:off x="1347107" y="1654629"/>
              <a:ext cx="1462768" cy="1174296"/>
            </xdr:xfrm>
            <a:graphic>
              <a:graphicData uri="http://schemas.microsoft.com/office/drawing/2010/slicer">
                <sle:slicer xmlns:sle="http://schemas.microsoft.com/office/drawing/2010/slicer" name="Nro_Mes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42344" y="1654629"/>
                <a:ext cx="1462768" cy="117429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AR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>
    <xdr:from>
      <xdr:col>4</xdr:col>
      <xdr:colOff>92209</xdr:colOff>
      <xdr:row>8</xdr:row>
      <xdr:rowOff>3121</xdr:rowOff>
    </xdr:from>
    <xdr:to>
      <xdr:col>12</xdr:col>
      <xdr:colOff>219075</xdr:colOff>
      <xdr:row>19</xdr:row>
      <xdr:rowOff>54030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7A92EE7-ECED-457B-91C0-56B29776C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266699</xdr:colOff>
      <xdr:row>8</xdr:row>
      <xdr:rowOff>0</xdr:rowOff>
    </xdr:from>
    <xdr:to>
      <xdr:col>17</xdr:col>
      <xdr:colOff>723900</xdr:colOff>
      <xdr:row>19</xdr:row>
      <xdr:rowOff>57151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B03CB4C-6A32-48D2-A1A5-0245A4083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108858</xdr:colOff>
      <xdr:row>19</xdr:row>
      <xdr:rowOff>152400</xdr:rowOff>
    </xdr:from>
    <xdr:to>
      <xdr:col>9</xdr:col>
      <xdr:colOff>714375</xdr:colOff>
      <xdr:row>28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60DA0D3B-664D-4253-8C41-598071EF6C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1583" y="3857625"/>
              <a:ext cx="4415517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200025</xdr:colOff>
      <xdr:row>0</xdr:row>
      <xdr:rowOff>85724</xdr:rowOff>
    </xdr:from>
    <xdr:to>
      <xdr:col>22</xdr:col>
      <xdr:colOff>523875</xdr:colOff>
      <xdr:row>10</xdr:row>
      <xdr:rowOff>47624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1CB54947-A780-EDF5-7247-7CF88619F173}"/>
            </a:ext>
          </a:extLst>
        </xdr:cNvPr>
        <xdr:cNvSpPr txBox="1"/>
      </xdr:nvSpPr>
      <xdr:spPr>
        <a:xfrm>
          <a:off x="13620750" y="85724"/>
          <a:ext cx="3371850" cy="1838325"/>
        </a:xfrm>
        <a:prstGeom prst="rect">
          <a:avLst/>
        </a:prstGeom>
        <a:solidFill>
          <a:srgbClr val="FBEFD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chemeClr val="tx2"/>
              </a:solidFill>
            </a:rPr>
            <a:t>Notas Explicativas post Feedback Chatgpt:</a:t>
          </a:r>
        </a:p>
        <a:p>
          <a:endParaRPr lang="es-AR" sz="1100">
            <a:solidFill>
              <a:schemeClr val="tx2"/>
            </a:solidFill>
          </a:endParaRPr>
        </a:p>
        <a:p>
          <a:r>
            <a:rPr lang="es-AR" sz="1100">
              <a:solidFill>
                <a:schemeClr val="tx2"/>
              </a:solidFill>
            </a:rPr>
            <a:t>• La meta es fija en pesos nominales: no contempla la estacionalidad ni la inflación (</a:t>
          </a:r>
          <a:r>
            <a:rPr lang="es-AR" sz="1100" b="1">
              <a:solidFill>
                <a:srgbClr val="7030A0"/>
              </a:solidFill>
            </a:rPr>
            <a:t>el precio por kg subió 26% entre enero y julio</a:t>
          </a:r>
          <a:r>
            <a:rPr lang="es-AR" sz="1100">
              <a:solidFill>
                <a:schemeClr val="tx2"/>
              </a:solidFill>
            </a:rPr>
            <a:t>). El cumplimiento de los meses recientes está favorecido por precio.</a:t>
          </a:r>
        </a:p>
        <a:p>
          <a:r>
            <a:rPr lang="es-AR" sz="1100">
              <a:solidFill>
                <a:schemeClr val="tx2"/>
              </a:solidFill>
            </a:rPr>
            <a:t>• El margen bruto usa un costo supuesto del 65% para todos los productos: es indicativo, no real.</a:t>
          </a:r>
        </a:p>
        <a:p>
          <a:r>
            <a:rPr lang="es-AR" sz="1100">
              <a:solidFill>
                <a:schemeClr val="tx2"/>
              </a:solidFill>
            </a:rPr>
            <a:t>• El NC % de ciudades chicas es sensible a eventos puntuales: validar por cliente antes de concluir.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z" refreshedDate="46296.695034259261" createdVersion="3" refreshedVersion="8" minRefreshableVersion="3" recordCount="0" tupleCache="1" supportSubquery="1" supportAdvancedDrill="1" xr:uid="{D2B2CFCE-5BED-4416-9BC0-82B53A97E7EF}">
  <cacheSource type="external" connectionId="8"/>
  <cacheFields count="4">
    <cacheField name="[Measures].[MeasuresLevel]" caption="MeasuresLevel" numFmtId="0" hierarchy="22">
      <sharedItems count="5">
        <s v="[Measures].[Ventas Brutas]" c="Ventas Brutas"/>
        <s v="[Measures].[Notas de Credito]" c="Notas de Credito"/>
        <s v="[Measures].[Total Ventas]" c="Total Ventas"/>
        <s v="[Measures].[Meta Ventas]" c="Meta Ventas"/>
        <s v="[Measures].[Precio Prom x Kg]" c="Precio Prom x Kg"/>
      </sharedItems>
    </cacheField>
    <cacheField name="[Dim_Productos].[Familia].[Familia]" caption="Familia" numFmtId="0" hierarchy="11" level="1">
      <sharedItems count="2">
        <s v="[Dim_Productos].[Familia].&amp;[Chocolate]" c="Chocolate"/>
        <s v="[Dim_Productos].[Familia].&amp;[Panaderia]" c="Panaderia"/>
      </sharedItems>
    </cacheField>
    <cacheField name="[Dim_Clientes].[Ciudad].[Ciudad]" caption="Ciudad" numFmtId="0" hierarchy="8" level="1">
      <sharedItems count="10">
        <s v="[Dim_Clientes].[Ciudad].&amp;[Caleta Olivia]" c="Caleta Olivia"/>
        <s v="[Dim_Clientes].[Ciudad].&amp;[Cañadon Seco]" c="Cañadon Seco"/>
        <s v="[Dim_Clientes].[Ciudad].&amp;[Las Heras]" c="Las Heras"/>
        <s v="[Dim_Clientes].[Ciudad].&amp;[Pico Truncado]" c="Pico Truncado"/>
        <s v="[Dim_Clientes].[Ciudad].&amp;[Puerto San Julian]" c="Puerto San Julian"/>
        <s v="[Dim_Clientes].[Ciudad].&amp;[Sarmiento]" c="Sarmiento"/>
        <s v="[Dim_Clientes].[Ciudad].&amp;[Los Antiguos]" c="Los Antiguos"/>
        <s v="[Dim_Clientes].[Ciudad].&amp;[Puerto Deseado]" c="Puerto Deseado"/>
        <s v="[Dim_Clientes].[Ciudad].&amp;[Rada Tilly]" c="Rada Tilly"/>
        <s v="[Dim_Clientes].[Ciudad].&amp;[Comodoro Rivadavia]" c="Comodoro Rivadavia"/>
      </sharedItems>
    </cacheField>
    <cacheField name="[Dim_Calendario].[Nro_Mes].[Nro_Mes]" caption="Nro_Mes" numFmtId="0" hierarchy="2" level="1">
      <sharedItems count="3">
        <s v="[Dim_Calendario].[Nro_Mes].&amp;[3]" c="3"/>
        <s v="[Dim_Calendario].[Nro_Mes].&amp;[2]" c="2"/>
        <s v="[Dim_Calendario].[Nro_Mes].&amp;[1]" c="1"/>
      </sharedItems>
    </cacheField>
  </cacheFields>
  <cacheHierarchies count="38">
    <cacheHierarchy uniqueName="[Dim_Calendario].[Fecha]" caption="Fecha" attribute="1" time="1" keyAttribute="1" defaultMemberUniqueName="[Dim_Calendario].[Fecha].[All]" allUniqueName="[Dim_Calendario].[Fecha].[All]" dimensionUniqueName="[Dim_Calendario]" displayFolder="" count="2" memberValueDatatype="7" unbalanced="0"/>
    <cacheHierarchy uniqueName="[Dim_Calendario].[Año]" caption="Año" attribute="1" time="1" defaultMemberUniqueName="[Dim_Calendario].[Año].[All]" allUniqueName="[Dim_Calendario].[Año].[All]" dimensionUniqueName="[Dim_Calendario]" displayFolder="" count="2" memberValueDatatype="20" unbalanced="0"/>
    <cacheHierarchy uniqueName="[Dim_Calendario].[Nro_Mes]" caption="Nro_Mes" attribute="1" time="1" defaultMemberUniqueName="[Dim_Calendario].[Nro_Mes].[All]" allUniqueName="[Dim_Calendario].[Nro_Mes].[All]" allCaption="All" dimensionUniqueName="[Dim_Calendario]" displayFolder="" count="2" memberValueDatatype="20" unbalanced="0">
      <fieldsUsage count="2">
        <fieldUsage x="-1"/>
        <fieldUsage x="3"/>
      </fieldsUsage>
    </cacheHierarchy>
    <cacheHierarchy uniqueName="[Dim_Calendario].[Mes]" caption="Mes" attribute="1" time="1" defaultMemberUniqueName="[Dim_Calendario].[Mes].[All]" allUniqueName="[Dim_Calendario].[Mes].[All]" dimensionUniqueName="[Dim_Calendario]" displayFolder="" count="2" memberValueDatatype="130" unbalanced="0"/>
    <cacheHierarchy uniqueName="[Dim_Calendario].[Trimestre]" caption="Trimestre" attribute="1" time="1" defaultMemberUniqueName="[Dim_Calendario].[Trimestre].[All]" allUniqueName="[Dim_Calendario].[Trimestre].[All]" dimensionUniqueName="[Dim_Calendario]" displayFolder="" count="2" memberValueDatatype="130" unbalanced="0"/>
    <cacheHierarchy uniqueName="[Dim_Calendario].[Dia_Semana]" caption="Dia_Semana" attribute="1" time="1" defaultMemberUniqueName="[Dim_Calendario].[Dia_Semana].[All]" allUniqueName="[Dim_Calendario].[Dia_Semana].[All]" dimensionUniqueName="[Dim_Calendario]" displayFolder="" count="2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2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2" memberValueDatatype="130" unbalanced="0"/>
    <cacheHierarchy uniqueName="[Dim_Clientes].[Ciudad]" caption="Ciudad" attribute="1" defaultMemberUniqueName="[Dim_Clientes].[Ciudad].[All]" allUniqueName="[Dim_Clientes].[Ciudad].[All]" allCaption="All" dimensionUniqueName="[Dim_Clientes]" displayFolder="" count="2" memberValueDatatype="130" unbalanced="0">
      <fieldsUsage count="2">
        <fieldUsage x="-1"/>
        <fieldUsage x="2"/>
      </fieldsUsage>
    </cacheHierarchy>
    <cacheHierarchy uniqueName="[Dim_Productos].[ID_Producto]" caption="ID_Producto" attribute="1" defaultMemberUniqueName="[Dim_Productos].[ID_Producto].[All]" allUniqueName="[Dim_Productos].[ID_Producto].[All]" dimensionUniqueName="[Dim_Productos]" displayFolder="" count="2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2" memberValueDatatype="130" unbalanced="0"/>
    <cacheHierarchy uniqueName="[Dim_Productos].[Familia]" caption="Familia" attribute="1" defaultMemberUniqueName="[Dim_Productos].[Familia].[All]" allUniqueName="[Dim_Productos].[Familia].[All]" allCaption="All" dimensionUniqueName="[Dim_Productos]" displayFolder="" count="2" memberValueDatatype="130" unbalanced="0">
      <fieldsUsage count="2">
        <fieldUsage x="-1"/>
        <fieldUsage x="1"/>
      </fieldsUsage>
    </cacheHierarchy>
    <cacheHierarchy uniqueName="[Dim_Vendedores].[ID_Vendedor]" caption="ID_Vendedor" attribute="1" defaultMemberUniqueName="[Dim_Vendedores].[ID_Vendedor].[All]" allUniqueName="[Dim_Vendedores].[ID_Vendedor].[All]" dimensionUniqueName="[Dim_Vendedores]" displayFolder="" count="2" memberValueDatatype="20" unbalanced="0"/>
    <cacheHierarchy uniqueName="[Dim_Vendedores].[Vendedor]" caption="Vendedor" attribute="1" defaultMemberUniqueName="[Dim_Vendedores].[Vendedor].[All]" allUniqueName="[Dim_Vendedores].[Vendedor].[All]" dimensionUniqueName="[Dim_Vendedores]" displayFolder="" count="2" memberValueDatatype="130" unbalanced="0"/>
    <cacheHierarchy uniqueName="[Dim_Vendedores].[Supervisor]" caption="Supervisor" attribute="1" defaultMemberUniqueName="[Dim_Vendedores].[Supervisor].[All]" allUniqueName="[Dim_Vendedores].[Supervisor].[All]" dimensionUniqueName="[Dim_Vendedores]" displayFolder="" count="2" memberValueDatatype="130" unbalanced="0"/>
    <cacheHierarchy uniqueName="[Fact_Ventas].[Fecha_Factura]" caption="Fecha_Factura" attribute="1" time="1" defaultMemberUniqueName="[Fact_Ventas].[Fecha_Factura].[All]" allUniqueName="[Fact_Ventas].[Fecha_Factura].[All]" dimensionUniqueName="[Fact_Ventas]" displayFolder="" count="2" memberValueDatatype="7" unbalanced="0"/>
    <cacheHierarchy uniqueName="[Fact_Ventas].[Nro_Factura]" caption="Nro_Factura" attribute="1" defaultMemberUniqueName="[Fact_Ventas].[Nro_Factura].[All]" allUniqueName="[Fact_Ventas].[Nro_Factura].[All]" dimensionUniqueName="[Fact_Ventas]" displayFolder="" count="2" memberValueDatatype="20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2" memberValueDatatype="20" unbalanced="0"/>
    <cacheHierarchy uniqueName="[Fact_Ventas].[ID_Vendedor]" caption="ID_Vendedor" attribute="1" defaultMemberUniqueName="[Fact_Ventas].[ID_Vendedor].[All]" allUniqueName="[Fact_Ventas].[ID_Vendedor].[All]" dimensionUniqueName="[Fact_Ventas]" displayFolder="" count="2" memberValueDatatype="2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2" memberValueDatatype="20" unbalanced="0"/>
    <cacheHierarchy uniqueName="[Fact_Ventas].[Cant_Kgs]" caption="Cant_Kgs" attribute="1" defaultMemberUniqueName="[Fact_Ventas].[Cant_Kgs].[All]" allUniqueName="[Fact_Ventas].[Cant_Kgs].[All]" dimensionUniqueName="[Fact_Ventas]" displayFolder="" count="2" memberValueDatatype="5" unbalanced="0"/>
    <cacheHierarchy uniqueName="[Fact_Ventas].[Monto]" caption="Monto" attribute="1" defaultMemberUniqueName="[Fact_Ventas].[Monto].[All]" allUniqueName="[Fact_Ventas].[Monto].[All]" dimensionUniqueName="[Fact_Ventas]" displayFolder="" count="2" memberValueDatatype="5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0"/>
      </fieldsUsage>
    </cacheHierarchy>
    <cacheHierarchy uniqueName="[Measures].[Suma de Monto]" caption="Suma de Monto" measure="1" displayFolder="" measureGroup="Fact_Vent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Total Ventas]" caption="Total Ventas" measure="1" displayFolder="" measureGroup="Fact_Ventas" count="0"/>
    <cacheHierarchy uniqueName="[Measures].[Total Kgs]" caption="Total Kgs" measure="1" displayFolder="" measureGroup="Fact_Ventas" count="0"/>
    <cacheHierarchy uniqueName="[Measures].[Precio Prom x Kg]" caption="Precio Prom x Kg" measure="1" displayFolder="" measureGroup="Fact_Ventas" count="0"/>
    <cacheHierarchy uniqueName="[Measures].[Var % vs Mes Ant]" caption="Var % vs Mes Ant" measure="1" displayFolder="" measureGroup="Fact_Ventas" count="0"/>
    <cacheHierarchy uniqueName="[Measures].[Meta Ventas]" caption="Meta Ventas" measure="1" displayFolder="" measureGroup="Fact_Ventas" count="0"/>
    <cacheHierarchy uniqueName="[Measures].[Cumplimiento %]" caption="Cumplimiento %" measure="1" displayFolder="" measureGroup="Fact_Ventas" count="0"/>
    <cacheHierarchy uniqueName="[Measures].[Ventas Brutas]" caption="Ventas Brutas" measure="1" displayFolder="" measureGroup="Fact_Ventas" count="0"/>
    <cacheHierarchy uniqueName="[Measures].[Notas de Credito]" caption="Notas de Credito" measure="1" displayFolder="" measureGroup="Fact_Ventas" count="0"/>
    <cacheHierarchy uniqueName="[Measures].[__XL_Count Fact_Ventas]" caption="__XL_Count Fact_Ventas" measure="1" displayFolder="" measureGroup="Fact_Venta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Vendedores]" caption="__XL_Count Dim_Vendedores" measure="1" displayFolder="" measureGroup="Dim_Vendedore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tupleCache>
    <entries count="83">
      <n v="225176037.03999999" in="0">
        <tpls c="1">
          <tpl fld="0" item="0"/>
        </tpls>
      </n>
      <n v="225176037.03999999" in="0">
        <tpls c="4">
          <tpl hier="2" item="2"/>
          <tpl hier="8" item="1"/>
          <tpl hier="11" item="0"/>
          <tpl fld="0" item="0"/>
        </tpls>
      </n>
      <n v="-6967931.79" in="0">
        <tpls c="4">
          <tpl hier="2" item="2"/>
          <tpl hier="8" item="1"/>
          <tpl hier="11" item="0"/>
          <tpl fld="0" item="1"/>
        </tpls>
      </n>
      <n v="-1040444.49" in="0">
        <tpls c="4">
          <tpl hier="2" item="2"/>
          <tpl hier="8" item="1"/>
          <tpl hier="11" item="3"/>
          <tpl fld="0" item="1"/>
        </tpls>
      </n>
      <n v="93766905.260000005" in="0">
        <tpls c="4">
          <tpl hier="2" item="2"/>
          <tpl hier="8" item="1"/>
          <tpl hier="11" item="3"/>
          <tpl fld="0" item="0"/>
        </tpls>
      </n>
      <n v="-2218572.4700000002" in="0">
        <tpls c="4">
          <tpl hier="2" item="2"/>
          <tpl hier="8" item="1"/>
          <tpl hier="11" item="4"/>
          <tpl fld="0" item="1"/>
        </tpls>
      </n>
      <n v="44691049.990000002" in="0">
        <tpls c="4">
          <tpl hier="2" item="2"/>
          <tpl hier="8" item="1"/>
          <tpl hier="11" item="4"/>
          <tpl fld="0" item="0"/>
        </tpls>
      </n>
      <n v="218208105.25" in="0">
        <tpls c="4">
          <tpl hier="2" item="2"/>
          <tpl hier="8" item="1"/>
          <tpl hier="11" item="0"/>
          <tpl fld="0" item="2"/>
        </tpls>
      </n>
      <n v="249999999.97" in="0">
        <tpls c="4">
          <tpl hier="2" item="2"/>
          <tpl hier="8" item="1"/>
          <tpl hier="11" item="0"/>
          <tpl fld="0" item="3"/>
        </tpls>
      </n>
      <n v="8889.6898603449863" in="0">
        <tpls c="4">
          <tpl hier="2" item="2"/>
          <tpl hier="8" item="1"/>
          <tpl hier="11" item="0"/>
          <tpl fld="0" item="4"/>
        </tpls>
      </n>
      <n v="9285.6312898994329" in="0">
        <tpls c="4">
          <tpl hier="2" item="2"/>
          <tpl hier="8" item="1"/>
          <tpl hier="11" item="4"/>
          <tpl fld="0" item="4"/>
        </tpls>
      </n>
      <n v="48660517.750065684" in="0">
        <tpls c="4">
          <tpl hier="2" item="2"/>
          <tpl hier="8" item="1"/>
          <tpl hier="11" item="4"/>
          <tpl fld="0" item="3"/>
        </tpls>
      </n>
      <n v="42472477.520000003" in="0">
        <tpls c="4">
          <tpl hier="2" item="2"/>
          <tpl hier="8" item="1"/>
          <tpl hier="11" item="4"/>
          <tpl fld="0" item="2"/>
        </tpls>
      </n>
      <n v="7741.9265465116277" in="0">
        <tpls c="4">
          <tpl hier="2" item="2"/>
          <tpl hier="8" item="5"/>
          <tpl hier="11" item="4"/>
          <tpl fld="0" item="4"/>
        </tpls>
      </n>
      <n v="7628104.3978326665" in="0">
        <tpls c="4">
          <tpl hier="2" item="2"/>
          <tpl hier="8" item="5"/>
          <tpl hier="11" item="4"/>
          <tpl fld="0" item="3"/>
        </tpls>
      </n>
      <n v="6658056.8300000001" in="0">
        <tpls c="4">
          <tpl hier="2" item="2"/>
          <tpl hier="8" item="5"/>
          <tpl hier="11" item="4"/>
          <tpl fld="0" item="2"/>
        </tpls>
      </n>
      <n v="-136686.04999999999" in="0">
        <tpls c="4">
          <tpl hier="2" item="2"/>
          <tpl hier="8" item="5"/>
          <tpl hier="11" item="4"/>
          <tpl fld="0" item="1"/>
        </tpls>
      </n>
      <n v="6794742.8799999999" in="0">
        <tpls c="4">
          <tpl hier="2" item="2"/>
          <tpl hier="8" item="5"/>
          <tpl hier="11" item="4"/>
          <tpl fld="0" item="0"/>
        </tpls>
      </n>
      <n v="9325.1224907182896" in="0">
        <tpls c="4">
          <tpl hier="2" item="2"/>
          <tpl hier="8" item="5"/>
          <tpl hier="11" item="0"/>
          <tpl fld="0" item="4"/>
        </tpls>
      </n>
      <n v="49783065.132941172" in="0">
        <tpls c="4">
          <tpl hier="2" item="2"/>
          <tpl hier="8" item="5"/>
          <tpl hier="11" item="0"/>
          <tpl fld="0" item="3"/>
        </tpls>
      </n>
      <n v="43452273.270000003" in="0">
        <tpls c="4">
          <tpl hier="2" item="2"/>
          <tpl hier="8" item="5"/>
          <tpl hier="11" item="0"/>
          <tpl fld="0" item="2"/>
        </tpls>
      </n>
      <n v="-384965.67" in="0">
        <tpls c="4">
          <tpl hier="2" item="2"/>
          <tpl hier="8" item="5"/>
          <tpl hier="11" item="0"/>
          <tpl fld="0" item="1"/>
        </tpls>
      </n>
      <n v="43837238.939999998" in="0">
        <tpls c="4">
          <tpl hier="2" item="2"/>
          <tpl hier="8" item="5"/>
          <tpl hier="11" item="0"/>
          <tpl fld="0" item="0"/>
        </tpls>
      </n>
      <n v="9146.998663859109" in="0">
        <tpls c="4">
          <tpl hier="2" item="6"/>
          <tpl hier="8" item="1"/>
          <tpl hier="11" item="0"/>
          <tpl fld="0" item="4"/>
        </tpls>
      </n>
      <n v="35714285.710000001" in="0">
        <tpls c="4">
          <tpl hier="2" item="6"/>
          <tpl hier="8" item="1"/>
          <tpl hier="11" item="0"/>
          <tpl fld="0" item="3"/>
        </tpls>
      </n>
      <n v="47783921.020000003" in="0">
        <tpls c="4">
          <tpl hier="2" item="6"/>
          <tpl hier="8" item="1"/>
          <tpl hier="11" item="0"/>
          <tpl fld="0" item="2"/>
        </tpls>
      </n>
      <n v="-170478.55" in="0">
        <tpls c="4">
          <tpl hier="2" item="6"/>
          <tpl hier="8" item="1"/>
          <tpl hier="11" item="0"/>
          <tpl fld="0" item="1"/>
        </tpls>
      </n>
      <n v="47954399.57" in="0">
        <tpls c="4">
          <tpl hier="2" item="6"/>
          <tpl hier="8" item="1"/>
          <tpl hier="11" item="0"/>
          <tpl fld="0" item="0"/>
        </tpls>
      </n>
      <n v="8950.9271473115114" in="0">
        <tpls c="4">
          <tpl hier="2" item="7"/>
          <tpl hier="8" item="1"/>
          <tpl hier="11" item="0"/>
          <tpl fld="0" item="4"/>
        </tpls>
      </n>
      <n v="35714285.710000001" in="0">
        <tpls c="4">
          <tpl hier="2" item="7"/>
          <tpl hier="8" item="1"/>
          <tpl hier="11" item="0"/>
          <tpl fld="0" item="3"/>
        </tpls>
      </n>
      <n v="39902338.130000003" in="0">
        <tpls c="4">
          <tpl hier="2" item="7"/>
          <tpl hier="8" item="1"/>
          <tpl hier="11" item="0"/>
          <tpl fld="0" item="2"/>
        </tpls>
      </n>
      <n v="-382681.32" in="0">
        <tpls c="4">
          <tpl hier="2" item="7"/>
          <tpl hier="8" item="1"/>
          <tpl hier="11" item="0"/>
          <tpl fld="0" item="1"/>
        </tpls>
      </n>
      <n v="40285019.450000003" in="0">
        <tpls c="4">
          <tpl hier="2" item="7"/>
          <tpl hier="8" item="1"/>
          <tpl hier="11" item="0"/>
          <tpl fld="0" item="0"/>
        </tpls>
      </n>
      <n v="7718.1163075832746" in="0">
        <tpls c="4">
          <tpl hier="2" item="8"/>
          <tpl hier="8" item="1"/>
          <tpl hier="11" item="0"/>
          <tpl fld="0" item="4"/>
        </tpls>
      </n>
      <n v="35714285.710000001" in="0">
        <tpls c="4">
          <tpl hier="2" item="8"/>
          <tpl hier="8" item="1"/>
          <tpl hier="11" item="0"/>
          <tpl fld="0" item="3"/>
        </tpls>
      </n>
      <n v="21780524.219999999" in="0">
        <tpls c="4">
          <tpl hier="2" item="8"/>
          <tpl hier="8" item="1"/>
          <tpl hier="11" item="0"/>
          <tpl fld="0" item="2"/>
        </tpls>
      </n>
      <n v="-1700324.96" in="0">
        <tpls c="4">
          <tpl hier="2" item="8"/>
          <tpl hier="8" item="1"/>
          <tpl hier="11" item="0"/>
          <tpl fld="0" item="1"/>
        </tpls>
      </n>
      <n v="23480849.18" in="0">
        <tpls c="4">
          <tpl hier="2" item="8"/>
          <tpl hier="8" item="1"/>
          <tpl hier="11" item="0"/>
          <tpl fld="0" item="0"/>
        </tpls>
      </n>
      <n v="12586.524999999998" in="0">
        <tpls c="4">
          <tpl hier="2" item="2"/>
          <tpl hier="8" item="9"/>
          <tpl hier="11" item="0"/>
          <tpl fld="0" item="4"/>
        </tpls>
      </n>
      <n v="69217.547995676665" in="0">
        <tpls c="4">
          <tpl hier="2" item="2"/>
          <tpl hier="8" item="9"/>
          <tpl hier="11" item="0"/>
          <tpl fld="0" item="3"/>
        </tpls>
      </n>
      <n v="60415.32" in="0">
        <tpls c="4">
          <tpl hier="2" item="2"/>
          <tpl hier="8" item="9"/>
          <tpl hier="11" item="0"/>
          <tpl fld="0" item="2"/>
        </tpls>
      </n>
      <m in="0">
        <tpls c="4">
          <tpl hier="2" item="2"/>
          <tpl hier="8" item="9"/>
          <tpl hier="11" item="0"/>
          <tpl fld="0" item="1"/>
        </tpls>
      </m>
      <n v="60415.32" in="0">
        <tpls c="4">
          <tpl hier="2" item="2"/>
          <tpl hier="8" item="9"/>
          <tpl hier="11" item="0"/>
          <tpl fld="0" item="0"/>
        </tpls>
      </n>
      <n v="9055.2416666666668" in="0">
        <tpls c="4">
          <tpl hier="2" item="2"/>
          <tpl hier="8" item="10"/>
          <tpl hier="11" item="0"/>
          <tpl fld="0" item="4"/>
        </tpls>
      </n>
      <n v="186741.86024586347" in="0">
        <tpls c="4">
          <tpl hier="2" item="2"/>
          <tpl hier="8" item="10"/>
          <tpl hier="11" item="0"/>
          <tpl fld="0" item="3"/>
        </tpls>
      </n>
      <n v="162994.35" in="0">
        <tpls c="4">
          <tpl hier="2" item="2"/>
          <tpl hier="8" item="10"/>
          <tpl hier="11" item="0"/>
          <tpl fld="0" item="2"/>
        </tpls>
      </n>
      <m in="0">
        <tpls c="4">
          <tpl hier="2" item="2"/>
          <tpl hier="8" item="10"/>
          <tpl hier="11" item="0"/>
          <tpl fld="0" item="1"/>
        </tpls>
      </m>
      <n v="162994.35" in="0">
        <tpls c="4">
          <tpl hier="2" item="2"/>
          <tpl hier="8" item="10"/>
          <tpl hier="11" item="0"/>
          <tpl fld="0" item="0"/>
        </tpls>
      </n>
      <n v="9354.3830406882462" in="0">
        <tpls c="4">
          <tpl hier="2" item="2"/>
          <tpl hier="8" item="11"/>
          <tpl hier="11" item="0"/>
          <tpl fld="0" item="4"/>
        </tpls>
      </n>
      <n v="30396328.709261239" in="0">
        <tpls c="4">
          <tpl hier="2" item="2"/>
          <tpl hier="8" item="11"/>
          <tpl hier="11" item="0"/>
          <tpl fld="0" item="3"/>
        </tpls>
      </n>
      <n v="26530901.18" in="0">
        <tpls c="4">
          <tpl hier="2" item="2"/>
          <tpl hier="8" item="11"/>
          <tpl hier="11" item="0"/>
          <tpl fld="0" item="2"/>
        </tpls>
      </n>
      <n v="-291399.14" in="0">
        <tpls c="4">
          <tpl hier="2" item="2"/>
          <tpl hier="8" item="11"/>
          <tpl hier="11" item="0"/>
          <tpl fld="0" item="1"/>
        </tpls>
      </n>
      <n v="26822300.32" in="0">
        <tpls c="4">
          <tpl hier="2" item="2"/>
          <tpl hier="8" item="11"/>
          <tpl hier="11" item="0"/>
          <tpl fld="0" item="0"/>
        </tpls>
      </n>
      <n v="10667.289999999999" in="0">
        <tpls c="4">
          <tpl hier="2" item="2"/>
          <tpl hier="8" item="12"/>
          <tpl hier="11" item="0"/>
          <tpl fld="0" item="4"/>
        </tpls>
      </n>
      <n v="293315.13565452013" in="0">
        <tpls c="4">
          <tpl hier="2" item="2"/>
          <tpl hier="8" item="12"/>
          <tpl hier="11" item="0"/>
          <tpl fld="0" item="3"/>
        </tpls>
      </n>
      <n v="256014.96" in="0">
        <tpls c="4">
          <tpl hier="2" item="2"/>
          <tpl hier="8" item="12"/>
          <tpl hier="11" item="0"/>
          <tpl fld="0" item="2"/>
        </tpls>
      </n>
      <m in="0">
        <tpls c="4">
          <tpl hier="2" item="2"/>
          <tpl hier="8" item="12"/>
          <tpl hier="11" item="0"/>
          <tpl fld="0" item="1"/>
        </tpls>
      </m>
      <n v="256014.96" in="0">
        <tpls c="4">
          <tpl hier="2" item="2"/>
          <tpl hier="8" item="12"/>
          <tpl hier="11" item="0"/>
          <tpl fld="0" item="0"/>
        </tpls>
      </n>
      <n v="6167.2703634728996" in="0">
        <tpls c="4">
          <tpl hier="2" item="2"/>
          <tpl hier="8" item="13"/>
          <tpl hier="11" item="0"/>
          <tpl fld="0" item="4"/>
        </tpls>
      </n>
      <n v="22005766.921088189" in="0">
        <tpls c="4">
          <tpl hier="2" item="2"/>
          <tpl hier="8" item="13"/>
          <tpl hier="11" item="0"/>
          <tpl fld="0" item="3"/>
        </tpls>
      </n>
      <n v="19207346.82" in="0">
        <tpls c="4">
          <tpl hier="2" item="2"/>
          <tpl hier="8" item="13"/>
          <tpl hier="11" item="0"/>
          <tpl fld="0" item="2"/>
        </tpls>
      </n>
      <n v="-370055.58" in="0">
        <tpls c="4">
          <tpl hier="2" item="2"/>
          <tpl hier="8" item="13"/>
          <tpl hier="11" item="0"/>
          <tpl fld="0" item="1"/>
        </tpls>
      </n>
      <n v="19577402.399999999" in="0">
        <tpls c="4">
          <tpl hier="2" item="2"/>
          <tpl hier="8" item="13"/>
          <tpl hier="11" item="0"/>
          <tpl fld="0" item="0"/>
        </tpls>
      </n>
      <n v="22199.567499999997" in="0">
        <tpls c="4">
          <tpl hier="2" item="2"/>
          <tpl hier="8" item="14"/>
          <tpl hier="11" item="0"/>
          <tpl fld="0" item="4"/>
        </tpls>
      </n>
      <n v="508678.80163988669" in="0">
        <tpls c="4">
          <tpl hier="2" item="2"/>
          <tpl hier="8" item="14"/>
          <tpl hier="11" item="0"/>
          <tpl fld="0" item="3"/>
        </tpls>
      </n>
      <n v="443991.35" in="0">
        <tpls c="4">
          <tpl hier="2" item="2"/>
          <tpl hier="8" item="14"/>
          <tpl hier="11" item="0"/>
          <tpl fld="0" item="2"/>
        </tpls>
      </n>
      <m in="0">
        <tpls c="4">
          <tpl hier="2" item="2"/>
          <tpl hier="8" item="14"/>
          <tpl hier="11" item="0"/>
          <tpl fld="0" item="1"/>
        </tpls>
      </m>
      <n v="443991.35" in="0">
        <tpls c="4">
          <tpl hier="2" item="2"/>
          <tpl hier="8" item="14"/>
          <tpl hier="11" item="0"/>
          <tpl fld="0" item="0"/>
        </tpls>
      </n>
      <n v="8554.9150049429772" in="0">
        <tpls c="4">
          <tpl hier="2" item="2"/>
          <tpl hier="8" item="15"/>
          <tpl hier="11" item="0"/>
          <tpl fld="0" item="4"/>
        </tpls>
      </n>
      <n v="40649038.855698533" in="0">
        <tpls c="4">
          <tpl hier="2" item="2"/>
          <tpl hier="8" item="15"/>
          <tpl hier="11" item="0"/>
          <tpl fld="0" item="3"/>
        </tpls>
      </n>
      <n v="35479799" in="0">
        <tpls c="4">
          <tpl hier="2" item="2"/>
          <tpl hier="8" item="15"/>
          <tpl hier="11" item="0"/>
          <tpl fld="0" item="2"/>
        </tpls>
      </n>
      <n v="-2097057.46" in="0">
        <tpls c="4">
          <tpl hier="2" item="2"/>
          <tpl hier="8" item="15"/>
          <tpl hier="11" item="0"/>
          <tpl fld="0" item="1"/>
        </tpls>
      </n>
      <n v="37576856.460000001" in="0">
        <tpls c="4">
          <tpl hier="2" item="2"/>
          <tpl hier="8" item="15"/>
          <tpl hier="11" item="0"/>
          <tpl fld="0" item="0"/>
        </tpls>
      </n>
      <n v="8463.9443215076026" in="0">
        <tpls c="4">
          <tpl hier="2" item="2"/>
          <tpl hier="8" item="16"/>
          <tpl hier="11" item="0"/>
          <tpl fld="0" item="4"/>
        </tpls>
      </n>
      <n v="13584669.076559363" in="0">
        <tpls c="4">
          <tpl hier="2" item="2"/>
          <tpl hier="8" item="16"/>
          <tpl hier="11" item="0"/>
          <tpl fld="0" item="3"/>
        </tpls>
      </n>
      <n v="11857139.6" in="0">
        <tpls c="4">
          <tpl hier="2" item="2"/>
          <tpl hier="8" item="16"/>
          <tpl hier="11" item="0"/>
          <tpl fld="0" item="2"/>
        </tpls>
      </n>
      <n v="-988760.69" in="0">
        <tpls c="4">
          <tpl hier="2" item="2"/>
          <tpl hier="8" item="16"/>
          <tpl hier="11" item="0"/>
          <tpl fld="0" item="1"/>
        </tpls>
      </n>
      <n v="12845900.289999999" in="0">
        <tpls c="4">
          <tpl hier="2" item="2"/>
          <tpl hier="8" item="16"/>
          <tpl hier="11" item="0"/>
          <tpl fld="0" item="0"/>
        </tpls>
      </n>
      <n v="9705.3479070773592" in="0">
        <tpls c="4">
          <tpl hier="2" item="2"/>
          <tpl hier="8" item="17"/>
          <tpl hier="11" item="0"/>
          <tpl fld="0" item="4"/>
        </tpls>
      </n>
      <n v="92523177.928915575" in="0">
        <tpls c="4">
          <tpl hier="2" item="2"/>
          <tpl hier="8" item="17"/>
          <tpl hier="11" item="0"/>
          <tpl fld="0" item="3"/>
        </tpls>
      </n>
      <n v="80757229.400000006" in="0">
        <tpls c="4">
          <tpl hier="2" item="2"/>
          <tpl hier="8" item="17"/>
          <tpl hier="11" item="0"/>
          <tpl fld="0" item="2"/>
        </tpls>
      </n>
      <n v="-2835693.25" in="0">
        <tpls c="4">
          <tpl hier="2" item="2"/>
          <tpl hier="8" item="17"/>
          <tpl hier="11" item="0"/>
          <tpl fld="0" item="1"/>
        </tpls>
      </n>
      <n v="83592922.650000006" in="0">
        <tpls c="4">
          <tpl hier="2" item="2"/>
          <tpl hier="8" item="17"/>
          <tpl hier="11" item="0"/>
          <tpl fld="0" item="0"/>
        </tpls>
      </n>
    </entries>
    <sets count="18">
      <set count="1" maxRank="1" setDefinition="{[Dim_Productos].[Familia].[All]}">
        <tpls c="1">
          <tpl hier="11" item="4294967295"/>
        </tpls>
      </set>
      <set count="1" maxRank="1" setDefinition="{[Dim_Clientes].[Ciudad].[All]}">
        <tpls c="1">
          <tpl hier="8" item="4294967295"/>
        </tpls>
      </set>
      <set count="1" maxRank="1" setDefinition="{[Dim_Calendario].[Nro_Mes].[All]}">
        <tpls c="1">
          <tpl hier="2" item="4294967295"/>
        </tpls>
      </set>
      <set count="1" maxRank="1" setDefinition="{[Dim_Productos].[Familia].&amp;[Chocolate]}">
        <tpls c="1">
          <tpl fld="1" item="0"/>
        </tpls>
      </set>
      <set count="1" maxRank="1" setDefinition="{[Dim_Productos].[Familia].&amp;[Panaderia]}">
        <tpls c="1">
          <tpl fld="1" item="1"/>
        </tpls>
      </set>
      <set count="1" maxRank="1" setDefinition="{[Dim_Clientes].[Ciudad].&amp;[Caleta Olivia]}">
        <tpls c="1">
          <tpl fld="2" item="0"/>
        </tpls>
      </set>
      <set count="1" maxRank="1" setDefinition="{[Dim_Calendario].[Nro_Mes].&amp;[3]}">
        <tpls c="1">
          <tpl fld="3" item="0"/>
        </tpls>
      </set>
      <set count="1" maxRank="1" setDefinition="{[Dim_Calendario].[Nro_Mes].&amp;[2]}">
        <tpls c="1">
          <tpl fld="3" item="1"/>
        </tpls>
      </set>
      <set count="1" maxRank="1" setDefinition="{[Dim_Calendario].[Nro_Mes].&amp;[1]}">
        <tpls c="1">
          <tpl fld="3" item="2"/>
        </tpls>
      </set>
      <set count="1" maxRank="1" setDefinition="{[Dim_Clientes].[Ciudad].&amp;[Cañadon Seco]}">
        <tpls c="1">
          <tpl fld="2" item="1"/>
        </tpls>
      </set>
      <set count="1" maxRank="1" setDefinition="{[Dim_Clientes].[Ciudad].&amp;[Las Heras]}">
        <tpls c="1">
          <tpl fld="2" item="2"/>
        </tpls>
      </set>
      <set count="1" maxRank="1" setDefinition="{[Dim_Clientes].[Ciudad].&amp;[Pico Truncado]}">
        <tpls c="1">
          <tpl fld="2" item="3"/>
        </tpls>
      </set>
      <set count="1" maxRank="1" setDefinition="{[Dim_Clientes].[Ciudad].&amp;[Puerto San Julian]}">
        <tpls c="1">
          <tpl fld="2" item="4"/>
        </tpls>
      </set>
      <set count="1" maxRank="1" setDefinition="{[Dim_Clientes].[Ciudad].&amp;[Sarmiento]}">
        <tpls c="1">
          <tpl fld="2" item="5"/>
        </tpls>
      </set>
      <set count="1" maxRank="1" setDefinition="{[Dim_Clientes].[Ciudad].&amp;[Los Antiguos]}">
        <tpls c="1">
          <tpl fld="2" item="6"/>
        </tpls>
      </set>
      <set count="1" maxRank="1" setDefinition="{[Dim_Clientes].[Ciudad].&amp;[Puerto Deseado]}">
        <tpls c="1">
          <tpl fld="2" item="7"/>
        </tpls>
      </set>
      <set count="1" maxRank="1" setDefinition="{[Dim_Clientes].[Ciudad].&amp;[Rada Tilly]}">
        <tpls c="1">
          <tpl fld="2" item="8"/>
        </tpls>
      </set>
      <set count="1" maxRank="1" setDefinition="{[Dim_Clientes].[Ciudad].&amp;[Comodoro Rivadavia]}">
        <tpls c="1">
          <tpl fld="2" item="9"/>
        </tpls>
      </set>
    </sets>
    <queryCache count="6">
      <query mdx="[Measures].[Ventas Brutas]">
        <tpls c="1">
          <tpl fld="0" item="0"/>
        </tpls>
      </query>
      <query mdx="[Measures].[Notas de Credito]">
        <tpls c="1">
          <tpl fld="0" item="1"/>
        </tpls>
      </query>
      <query mdx="[Measures].[Total Ventas]">
        <tpls c="1">
          <tpl fld="0" item="2"/>
        </tpls>
      </query>
      <query mdx="[Measures].[Meta]"/>
      <query mdx="[Measures].[Meta Ventas]">
        <tpls c="1">
          <tpl fld="0" item="3"/>
        </tpls>
      </query>
      <query mdx="[Measures].[Precio Prom x Kg]">
        <tpls c="1">
          <tpl fld="0" item="4"/>
        </tpls>
      </query>
    </queryCache>
    <serverFormats count="1">
      <serverFormat format="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" refreshedDate="46296.754500925927" createdVersion="5" refreshedVersion="8" minRefreshableVersion="3" recordCount="0" supportSubquery="1" supportAdvancedDrill="1" xr:uid="{8677530D-9904-4A20-9475-0E8AB92F67C8}">
  <cacheSource type="external" connectionId="8"/>
  <cacheFields count="5">
    <cacheField name="[Dim_Calendario].[Mes].[Mes]" caption="Mes" numFmtId="0" hierarchy="3" level="1">
      <sharedItems count="7">
        <s v="Abril"/>
        <s v="Enero"/>
        <s v="Febrero"/>
        <s v="Julio"/>
        <s v="Junio"/>
        <s v="Marzo"/>
        <s v="Mayo"/>
      </sharedItems>
    </cacheField>
    <cacheField name="[Measures].[Total Ventas]" caption="Total Ventas" numFmtId="0" hierarchy="23" level="32767"/>
    <cacheField name="[Measures].[Meta Ventas]" caption="Meta Ventas" numFmtId="0" hierarchy="27" level="32767"/>
    <cacheField name="[Measures].[Cumplimiento %]" caption="Cumplimiento %" numFmtId="0" hierarchy="28" level="32767"/>
    <cacheField name="[Dim_Clientes].[Ciudad].[Ciudad]" caption="Ciudad" numFmtId="0" hierarchy="8" level="1">
      <sharedItems containsSemiMixedTypes="0" containsNonDate="0" containsString="0"/>
    </cacheField>
  </cacheFields>
  <cacheHierarchies count="37">
    <cacheHierarchy uniqueName="[Dim_Calendario].[Fecha]" caption="Fecha" attribute="1" time="1" keyAttribut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time="1" defaultMemberUniqueName="[Dim_Calendario].[Año].[All]" allUniqueName="[Dim_Calendario].[Año].[All]" dimensionUniqueName="[Dim_Calendario]" displayFolder="" count="0" memberValueDatatype="20" unbalanced="0"/>
    <cacheHierarchy uniqueName="[Dim_Calendario].[Nro_Mes]" caption="Nro_Mes" attribute="1" time="1" defaultMemberUniqueName="[Dim_Calendario].[Nro_Mes].[All]" allUniqueName="[Dim_Calendario].[Nro_Mes].[All]" dimensionUniqueName="[Dim_Calendario]" displayFolder="" count="2" memberValueDatatype="20" unbalanced="0"/>
    <cacheHierarchy uniqueName="[Dim_Calendario].[Mes]" caption="Mes" attribute="1" time="1" defaultMemberUniqueName="[Dim_Calendario].[Mes].[All]" allUniqueName="[Dim_Calendario].[Mes].[All]" dimensionUniqueName="[Dim_Calendario]" displayFolder="" count="2" memberValueDatatype="130" unbalanced="0">
      <fieldsUsage count="2">
        <fieldUsage x="-1"/>
        <fieldUsage x="0"/>
      </fieldsUsage>
    </cacheHierarchy>
    <cacheHierarchy uniqueName="[Dim_Calendario].[Trimestre]" caption="Trimestre" attribute="1" time="1" defaultMemberUniqueName="[Dim_Calendario].[Trimestre].[All]" allUniqueName="[Dim_Calendario].[Trimestre].[All]" dimensionUniqueName="[Dim_Calendario]" displayFolder="" count="0" memberValueDatatype="130" unbalanced="0"/>
    <cacheHierarchy uniqueName="[Dim_Calendario].[Dia_Semana]" caption="Dia_Semana" attribute="1" time="1" defaultMemberUniqueName="[Dim_Calendario].[Dia_Semana].[All]" allUniqueName="[Dim_Calendario].[Dia_Semana].[All]" dimensionUniqueName="[Dim_Calendario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Clientes].[Ciudad]" caption="Ciudad" attribute="1" defaultMemberUniqueName="[Dim_Clientes].[Ciudad].[All]" allUniqueName="[Dim_Clientes].[Ciudad].[All]" dimensionUniqueName="[Dim_Clientes]" displayFolder="" count="2" memberValueDatatype="130" unbalanced="0">
      <fieldsUsage count="2">
        <fieldUsage x="-1"/>
        <fieldUsage x="4"/>
      </fieldsUsage>
    </cacheHierarchy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Familia]" caption="Familia" attribute="1" defaultMemberUniqueName="[Dim_Productos].[Familia].[All]" allUniqueName="[Dim_Productos].[Familia].[All]" dimensionUniqueName="[Dim_Productos]" displayFolder="" count="2" memberValueDatatype="130" unbalanced="0"/>
    <cacheHierarchy uniqueName="[Dim_Vendedores].[ID_Vendedor]" caption="ID_Vendedor" attribute="1" defaultMemberUniqueName="[Dim_Vendedores].[ID_Vendedor].[All]" allUniqueName="[Dim_Vendedores].[ID_Vendedor].[All]" dimensionUniqueName="[Dim_Vendedores]" displayFolder="" count="0" memberValueDatatype="20" unbalanced="0"/>
    <cacheHierarchy uniqueName="[Dim_Vendedores].[Vendedor]" caption="Vendedor" attribute="1" defaultMemberUniqueName="[Dim_Vendedores].[Vendedor].[All]" allUniqueName="[Dim_Vendedores].[Vendedor].[All]" dimensionUniqueName="[Dim_Vendedores]" displayFolder="" count="0" memberValueDatatype="130" unbalanced="0"/>
    <cacheHierarchy uniqueName="[Dim_Vendedores].[Supervisor]" caption="Supervisor" attribute="1" defaultMemberUniqueName="[Dim_Vendedores].[Supervisor].[All]" allUniqueName="[Dim_Vendedores].[Supervisor].[All]" dimensionUniqueName="[Dim_Vendedores]" displayFolder="" count="0" memberValueDatatype="130" unbalanced="0"/>
    <cacheHierarchy uniqueName="[Fact_Ventas].[Fecha_Factura]" caption="Fecha_Factura" attribute="1" time="1" defaultMemberUniqueName="[Fact_Ventas].[Fecha_Factura].[All]" allUniqueName="[Fact_Ventas].[Fecha_Factura].[All]" dimensionUniqueName="[Fact_Ventas]" displayFolder="" count="0" memberValueDatatype="7" unbalanced="0"/>
    <cacheHierarchy uniqueName="[Fact_Ventas].[Nro_Factura]" caption="Nro_Factura" attribute="1" defaultMemberUniqueName="[Fact_Ventas].[Nro_Factura].[All]" allUniqueName="[Fact_Ventas].[Nro_Factura].[All]" dimensionUniqueName="[Fact_Ventas]" displayFolder="" count="0" memberValueDatatype="20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0" memberValueDatatype="20" unbalanced="0"/>
    <cacheHierarchy uniqueName="[Fact_Ventas].[ID_Vendedor]" caption="ID_Vendedor" attribute="1" defaultMemberUniqueName="[Fact_Ventas].[ID_Vendedor].[All]" allUniqueName="[Fact_Ventas].[ID_Vendedor].[All]" dimensionUniqueName="[Fact_Ventas]" displayFolder="" count="0" memberValueDatatype="2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0" memberValueDatatype="20" unbalanced="0"/>
    <cacheHierarchy uniqueName="[Fact_Ventas].[Cant_Kgs]" caption="Cant_Kgs" attribute="1" defaultMemberUniqueName="[Fact_Ventas].[Cant_Kgs].[All]" allUniqueName="[Fact_Ventas].[Cant_Kgs].[All]" dimensionUniqueName="[Fact_Ventas]" displayFolder="" count="0" memberValueDatatype="5" unbalanced="0"/>
    <cacheHierarchy uniqueName="[Fact_Ventas].[Monto]" caption="Monto" attribute="1" defaultMemberUniqueName="[Fact_Ventas].[Monto].[All]" allUniqueName="[Fact_Ventas].[Monto].[All]" dimensionUniqueName="[Fact_Ventas]" displayFolder="" count="0" memberValueDatatype="5" unbalanced="0"/>
    <cacheHierarchy uniqueName="[Measures].[Suma de Monto]" caption="Suma de Monto" measure="1" displayFolder="" measureGroup="Fact_Vent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Total Ventas]" caption="Total Ventas" measure="1" displayFolder="" measureGroup="Fact_Ventas" count="0" oneField="1">
      <fieldsUsage count="1">
        <fieldUsage x="1"/>
      </fieldsUsage>
    </cacheHierarchy>
    <cacheHierarchy uniqueName="[Measures].[Total Kgs]" caption="Total Kgs" measure="1" displayFolder="" measureGroup="Fact_Ventas" count="0"/>
    <cacheHierarchy uniqueName="[Measures].[Precio Prom x Kg]" caption="Precio Prom x Kg" measure="1" displayFolder="" measureGroup="Fact_Ventas" count="0"/>
    <cacheHierarchy uniqueName="[Measures].[Var % vs Mes Ant]" caption="Var % vs Mes Ant" measure="1" displayFolder="" measureGroup="Fact_Ventas" count="0"/>
    <cacheHierarchy uniqueName="[Measures].[Meta Ventas]" caption="Meta Ventas" measure="1" displayFolder="" measureGroup="Fact_Ventas" count="0" oneField="1">
      <fieldsUsage count="1">
        <fieldUsage x="2"/>
      </fieldsUsage>
    </cacheHierarchy>
    <cacheHierarchy uniqueName="[Measures].[Cumplimiento %]" caption="Cumplimiento %" measure="1" displayFolder="" measureGroup="Fact_Ventas" count="0" oneField="1">
      <fieldsUsage count="1">
        <fieldUsage x="3"/>
      </fieldsUsage>
    </cacheHierarchy>
    <cacheHierarchy uniqueName="[Measures].[Ventas Brutas]" caption="Ventas Brutas" measure="1" displayFolder="" measureGroup="Fact_Ventas" count="0"/>
    <cacheHierarchy uniqueName="[Measures].[Notas de Credito]" caption="Notas de Credito" measure="1" displayFolder="" measureGroup="Fact_Ventas" count="0"/>
    <cacheHierarchy uniqueName="[Measures].[__XL_Count Fact_Ventas]" caption="__XL_Count Fact_Ventas" measure="1" displayFolder="" measureGroup="Fact_Venta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Vendedores]" caption="__XL_Count Dim_Vendedores" measure="1" displayFolder="" measureGroup="Dim_Vendedore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dimensions count="6">
    <dimension name="Dim_Calendario" uniqueName="[Dim_Calendario]" caption="Dim_Calendario"/>
    <dimension name="Dim_Clientes" uniqueName="[Dim_Clientes]" caption="Dim_Clientes"/>
    <dimension name="Dim_Productos" uniqueName="[Dim_Productos]" caption="Dim_Productos"/>
    <dimension name="Dim_Vendedores" uniqueName="[Dim_Vendedores]" caption="Dim_Vendedores"/>
    <dimension name="Fact_Ventas" uniqueName="[Fact_Ventas]" caption="Fact_Ventas"/>
    <dimension measure="1" name="Measures" uniqueName="[Measures]" caption="Measures"/>
  </dimensions>
  <measureGroups count="5">
    <measureGroup name="Dim_Calendario" caption="Dim_Calendario"/>
    <measureGroup name="Dim_Clientes" caption="Dim_Clientes"/>
    <measureGroup name="Dim_Productos" caption="Dim_Productos"/>
    <measureGroup name="Dim_Vendedores" caption="Dim_Vendedores"/>
    <measureGroup name="Fact_Ventas" caption="Fact_Vent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" refreshedDate="46296.754501504627" createdVersion="5" refreshedVersion="8" minRefreshableVersion="3" recordCount="0" supportSubquery="1" supportAdvancedDrill="1" xr:uid="{38E7E96D-9EE8-4AFD-BCA1-D3E2E0C710A7}">
  <cacheSource type="external" connectionId="8"/>
  <cacheFields count="3">
    <cacheField name="[Dim_Calendario].[Mes].[Mes]" caption="Mes" numFmtId="0" hierarchy="3" level="1">
      <sharedItems count="7">
        <s v="Abril"/>
        <s v="Enero"/>
        <s v="Febrero"/>
        <s v="Julio"/>
        <s v="Junio"/>
        <s v="Marzo"/>
        <s v="Mayo"/>
      </sharedItems>
    </cacheField>
    <cacheField name="[Measures].[Total Ventas]" caption="Total Ventas" numFmtId="0" hierarchy="23" level="32767"/>
    <cacheField name="[Dim_Clientes].[Ciudad].[Ciudad]" caption="Ciudad" numFmtId="0" hierarchy="8" level="1">
      <sharedItems count="10">
        <s v="Caleta Olivia"/>
        <s v="Cañadon Seco"/>
        <s v="Comodoro Rivadavia"/>
        <s v="Las Heras"/>
        <s v="Los Antiguos"/>
        <s v="Pico Truncado"/>
        <s v="Puerto Deseado"/>
        <s v="Puerto San Julian"/>
        <s v="Rada Tilly"/>
        <s v="Sarmiento"/>
      </sharedItems>
    </cacheField>
  </cacheFields>
  <cacheHierarchies count="37">
    <cacheHierarchy uniqueName="[Dim_Calendario].[Fecha]" caption="Fecha" attribute="1" time="1" keyAttribut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time="1" defaultMemberUniqueName="[Dim_Calendario].[Año].[All]" allUniqueName="[Dim_Calendario].[Año].[All]" dimensionUniqueName="[Dim_Calendario]" displayFolder="" count="0" memberValueDatatype="20" unbalanced="0"/>
    <cacheHierarchy uniqueName="[Dim_Calendario].[Nro_Mes]" caption="Nro_Mes" attribute="1" time="1" defaultMemberUniqueName="[Dim_Calendario].[Nro_Mes].[All]" allUniqueName="[Dim_Calendario].[Nro_Mes].[All]" dimensionUniqueName="[Dim_Calendario]" displayFolder="" count="2" memberValueDatatype="20" unbalanced="0"/>
    <cacheHierarchy uniqueName="[Dim_Calendario].[Mes]" caption="Mes" attribute="1" time="1" defaultMemberUniqueName="[Dim_Calendario].[Mes].[All]" allUniqueName="[Dim_Calendario].[Mes].[All]" dimensionUniqueName="[Dim_Calendario]" displayFolder="" count="2" memberValueDatatype="130" unbalanced="0">
      <fieldsUsage count="2">
        <fieldUsage x="-1"/>
        <fieldUsage x="0"/>
      </fieldsUsage>
    </cacheHierarchy>
    <cacheHierarchy uniqueName="[Dim_Calendario].[Trimestre]" caption="Trimestre" attribute="1" time="1" defaultMemberUniqueName="[Dim_Calendario].[Trimestre].[All]" allUniqueName="[Dim_Calendario].[Trimestre].[All]" dimensionUniqueName="[Dim_Calendario]" displayFolder="" count="0" memberValueDatatype="130" unbalanced="0"/>
    <cacheHierarchy uniqueName="[Dim_Calendario].[Dia_Semana]" caption="Dia_Semana" attribute="1" time="1" defaultMemberUniqueName="[Dim_Calendario].[Dia_Semana].[All]" allUniqueName="[Dim_Calendario].[Dia_Semana].[All]" dimensionUniqueName="[Dim_Calendario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Clientes].[Ciudad]" caption="Ciudad" attribute="1" defaultMemberUniqueName="[Dim_Clientes].[Ciudad].[All]" allUniqueName="[Dim_Clientes].[Ciudad].[All]" dimensionUniqueName="[Dim_Clientes]" displayFolder="" count="2" memberValueDatatype="130" unbalanced="0">
      <fieldsUsage count="2">
        <fieldUsage x="-1"/>
        <fieldUsage x="2"/>
      </fieldsUsage>
    </cacheHierarchy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Familia]" caption="Familia" attribute="1" defaultMemberUniqueName="[Dim_Productos].[Familia].[All]" allUniqueName="[Dim_Productos].[Familia].[All]" dimensionUniqueName="[Dim_Productos]" displayFolder="" count="2" memberValueDatatype="130" unbalanced="0"/>
    <cacheHierarchy uniqueName="[Dim_Vendedores].[ID_Vendedor]" caption="ID_Vendedor" attribute="1" defaultMemberUniqueName="[Dim_Vendedores].[ID_Vendedor].[All]" allUniqueName="[Dim_Vendedores].[ID_Vendedor].[All]" dimensionUniqueName="[Dim_Vendedores]" displayFolder="" count="0" memberValueDatatype="20" unbalanced="0"/>
    <cacheHierarchy uniqueName="[Dim_Vendedores].[Vendedor]" caption="Vendedor" attribute="1" defaultMemberUniqueName="[Dim_Vendedores].[Vendedor].[All]" allUniqueName="[Dim_Vendedores].[Vendedor].[All]" dimensionUniqueName="[Dim_Vendedores]" displayFolder="" count="0" memberValueDatatype="130" unbalanced="0"/>
    <cacheHierarchy uniqueName="[Dim_Vendedores].[Supervisor]" caption="Supervisor" attribute="1" defaultMemberUniqueName="[Dim_Vendedores].[Supervisor].[All]" allUniqueName="[Dim_Vendedores].[Supervisor].[All]" dimensionUniqueName="[Dim_Vendedores]" displayFolder="" count="0" memberValueDatatype="130" unbalanced="0"/>
    <cacheHierarchy uniqueName="[Fact_Ventas].[Fecha_Factura]" caption="Fecha_Factura" attribute="1" time="1" defaultMemberUniqueName="[Fact_Ventas].[Fecha_Factura].[All]" allUniqueName="[Fact_Ventas].[Fecha_Factura].[All]" dimensionUniqueName="[Fact_Ventas]" displayFolder="" count="0" memberValueDatatype="7" unbalanced="0"/>
    <cacheHierarchy uniqueName="[Fact_Ventas].[Nro_Factura]" caption="Nro_Factura" attribute="1" defaultMemberUniqueName="[Fact_Ventas].[Nro_Factura].[All]" allUniqueName="[Fact_Ventas].[Nro_Factura].[All]" dimensionUniqueName="[Fact_Ventas]" displayFolder="" count="0" memberValueDatatype="20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0" memberValueDatatype="20" unbalanced="0"/>
    <cacheHierarchy uniqueName="[Fact_Ventas].[ID_Vendedor]" caption="ID_Vendedor" attribute="1" defaultMemberUniqueName="[Fact_Ventas].[ID_Vendedor].[All]" allUniqueName="[Fact_Ventas].[ID_Vendedor].[All]" dimensionUniqueName="[Fact_Ventas]" displayFolder="" count="0" memberValueDatatype="2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0" memberValueDatatype="20" unbalanced="0"/>
    <cacheHierarchy uniqueName="[Fact_Ventas].[Cant_Kgs]" caption="Cant_Kgs" attribute="1" defaultMemberUniqueName="[Fact_Ventas].[Cant_Kgs].[All]" allUniqueName="[Fact_Ventas].[Cant_Kgs].[All]" dimensionUniqueName="[Fact_Ventas]" displayFolder="" count="0" memberValueDatatype="5" unbalanced="0"/>
    <cacheHierarchy uniqueName="[Fact_Ventas].[Monto]" caption="Monto" attribute="1" defaultMemberUniqueName="[Fact_Ventas].[Monto].[All]" allUniqueName="[Fact_Ventas].[Monto].[All]" dimensionUniqueName="[Fact_Ventas]" displayFolder="" count="0" memberValueDatatype="5" unbalanced="0"/>
    <cacheHierarchy uniqueName="[Measures].[Suma de Monto]" caption="Suma de Monto" measure="1" displayFolder="" measureGroup="Fact_Vent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Total Ventas]" caption="Total Ventas" measure="1" displayFolder="" measureGroup="Fact_Ventas" count="0" oneField="1">
      <fieldsUsage count="1">
        <fieldUsage x="1"/>
      </fieldsUsage>
    </cacheHierarchy>
    <cacheHierarchy uniqueName="[Measures].[Total Kgs]" caption="Total Kgs" measure="1" displayFolder="" measureGroup="Fact_Ventas" count="0"/>
    <cacheHierarchy uniqueName="[Measures].[Precio Prom x Kg]" caption="Precio Prom x Kg" measure="1" displayFolder="" measureGroup="Fact_Ventas" count="0"/>
    <cacheHierarchy uniqueName="[Measures].[Var % vs Mes Ant]" caption="Var % vs Mes Ant" measure="1" displayFolder="" measureGroup="Fact_Ventas" count="0"/>
    <cacheHierarchy uniqueName="[Measures].[Meta Ventas]" caption="Meta Ventas" measure="1" displayFolder="" measureGroup="Fact_Ventas" count="0"/>
    <cacheHierarchy uniqueName="[Measures].[Cumplimiento %]" caption="Cumplimiento %" measure="1" displayFolder="" measureGroup="Fact_Ventas" count="0"/>
    <cacheHierarchy uniqueName="[Measures].[Ventas Brutas]" caption="Ventas Brutas" measure="1" displayFolder="" measureGroup="Fact_Ventas" count="0"/>
    <cacheHierarchy uniqueName="[Measures].[Notas de Credito]" caption="Notas de Credito" measure="1" displayFolder="" measureGroup="Fact_Ventas" count="0"/>
    <cacheHierarchy uniqueName="[Measures].[__XL_Count Fact_Ventas]" caption="__XL_Count Fact_Ventas" measure="1" displayFolder="" measureGroup="Fact_Venta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Vendedores]" caption="__XL_Count Dim_Vendedores" measure="1" displayFolder="" measureGroup="Dim_Vendedore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dimensions count="6">
    <dimension name="Dim_Calendario" uniqueName="[Dim_Calendario]" caption="Dim_Calendario"/>
    <dimension name="Dim_Clientes" uniqueName="[Dim_Clientes]" caption="Dim_Clientes"/>
    <dimension name="Dim_Productos" uniqueName="[Dim_Productos]" caption="Dim_Productos"/>
    <dimension name="Dim_Vendedores" uniqueName="[Dim_Vendedores]" caption="Dim_Vendedores"/>
    <dimension name="Fact_Ventas" uniqueName="[Fact_Ventas]" caption="Fact_Ventas"/>
    <dimension measure="1" name="Measures" uniqueName="[Measures]" caption="Measures"/>
  </dimensions>
  <measureGroups count="5">
    <measureGroup name="Dim_Calendario" caption="Dim_Calendario"/>
    <measureGroup name="Dim_Clientes" caption="Dim_Clientes"/>
    <measureGroup name="Dim_Productos" caption="Dim_Productos"/>
    <measureGroup name="Dim_Vendedores" caption="Dim_Vendedores"/>
    <measureGroup name="Fact_Ventas" caption="Fact_Venta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" refreshedDate="46296.694636458335" createdVersion="3" refreshedVersion="8" minRefreshableVersion="3" recordCount="0" supportSubquery="1" supportAdvancedDrill="1" xr:uid="{CE09EEF8-5FF7-4209-A199-E8B958DCF76E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7">
    <cacheHierarchy uniqueName="[Dim_Calendario].[Fecha]" caption="Fecha" attribute="1" time="1" keyAttribut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time="1" defaultMemberUniqueName="[Dim_Calendario].[Año].[All]" allUniqueName="[Dim_Calendario].[Año].[All]" dimensionUniqueName="[Dim_Calendario]" displayFolder="" count="0" memberValueDatatype="20" unbalanced="0"/>
    <cacheHierarchy uniqueName="[Dim_Calendario].[Nro_Mes]" caption="Nro_Mes" attribute="1" time="1" defaultMemberUniqueName="[Dim_Calendario].[Nro_Mes].[All]" allUniqueName="[Dim_Calendario].[Nro_Mes].[All]" dimensionUniqueName="[Dim_Calendario]" displayFolder="" count="2" memberValueDatatype="20" unbalanced="0"/>
    <cacheHierarchy uniqueName="[Dim_Calendario].[Mes]" caption="Mes" attribute="1" time="1" defaultMemberUniqueName="[Dim_Calendario].[Mes].[All]" allUniqueName="[Dim_Calendario].[Mes].[All]" dimensionUniqueName="[Dim_Calendario]" displayFolder="" count="0" memberValueDatatype="130" unbalanced="0"/>
    <cacheHierarchy uniqueName="[Dim_Calendario].[Trimestre]" caption="Trimestre" attribute="1" time="1" defaultMemberUniqueName="[Dim_Calendario].[Trimestre].[All]" allUniqueName="[Dim_Calendario].[Trimestre].[All]" dimensionUniqueName="[Dim_Calendario]" displayFolder="" count="0" memberValueDatatype="130" unbalanced="0"/>
    <cacheHierarchy uniqueName="[Dim_Calendario].[Dia_Semana]" caption="Dia_Semana" attribute="1" time="1" defaultMemberUniqueName="[Dim_Calendario].[Dia_Semana].[All]" allUniqueName="[Dim_Calendario].[Dia_Semana].[All]" dimensionUniqueName="[Dim_Calendario]" displayFolder="" count="0" memberValueDatatype="13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Clientes].[Ciudad]" caption="Ciudad" attribute="1" defaultMemberUniqueName="[Dim_Clientes].[Ciudad].[All]" allUniqueName="[Dim_Clientes].[Ciudad].[All]" dimensionUniqueName="[Dim_Clientes]" displayFolder="" count="2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Producto]" caption="Producto" attribute="1" defaultMemberUniqueName="[Dim_Productos].[Producto].[All]" allUniqueName="[Dim_Productos].[Producto].[All]" dimensionUniqueName="[Dim_Productos]" displayFolder="" count="0" memberValueDatatype="130" unbalanced="0"/>
    <cacheHierarchy uniqueName="[Dim_Productos].[Familia]" caption="Familia" attribute="1" defaultMemberUniqueName="[Dim_Productos].[Familia].[All]" allUniqueName="[Dim_Productos].[Familia].[All]" dimensionUniqueName="[Dim_Productos]" displayFolder="" count="2" memberValueDatatype="130" unbalanced="0"/>
    <cacheHierarchy uniqueName="[Dim_Vendedores].[ID_Vendedor]" caption="ID_Vendedor" attribute="1" defaultMemberUniqueName="[Dim_Vendedores].[ID_Vendedor].[All]" allUniqueName="[Dim_Vendedores].[ID_Vendedor].[All]" dimensionUniqueName="[Dim_Vendedores]" displayFolder="" count="0" memberValueDatatype="20" unbalanced="0"/>
    <cacheHierarchy uniqueName="[Dim_Vendedores].[Vendedor]" caption="Vendedor" attribute="1" defaultMemberUniqueName="[Dim_Vendedores].[Vendedor].[All]" allUniqueName="[Dim_Vendedores].[Vendedor].[All]" dimensionUniqueName="[Dim_Vendedores]" displayFolder="" count="0" memberValueDatatype="130" unbalanced="0"/>
    <cacheHierarchy uniqueName="[Dim_Vendedores].[Supervisor]" caption="Supervisor" attribute="1" defaultMemberUniqueName="[Dim_Vendedores].[Supervisor].[All]" allUniqueName="[Dim_Vendedores].[Supervisor].[All]" dimensionUniqueName="[Dim_Vendedores]" displayFolder="" count="0" memberValueDatatype="130" unbalanced="0"/>
    <cacheHierarchy uniqueName="[Fact_Ventas].[Fecha_Factura]" caption="Fecha_Factura" attribute="1" time="1" defaultMemberUniqueName="[Fact_Ventas].[Fecha_Factura].[All]" allUniqueName="[Fact_Ventas].[Fecha_Factura].[All]" dimensionUniqueName="[Fact_Ventas]" displayFolder="" count="0" memberValueDatatype="7" unbalanced="0"/>
    <cacheHierarchy uniqueName="[Fact_Ventas].[Nro_Factura]" caption="Nro_Factura" attribute="1" defaultMemberUniqueName="[Fact_Ventas].[Nro_Factura].[All]" allUniqueName="[Fact_Ventas].[Nro_Factura].[All]" dimensionUniqueName="[Fact_Ventas]" displayFolder="" count="0" memberValueDatatype="20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0" memberValueDatatype="20" unbalanced="0"/>
    <cacheHierarchy uniqueName="[Fact_Ventas].[ID_Vendedor]" caption="ID_Vendedor" attribute="1" defaultMemberUniqueName="[Fact_Ventas].[ID_Vendedor].[All]" allUniqueName="[Fact_Ventas].[ID_Vendedor].[All]" dimensionUniqueName="[Fact_Ventas]" displayFolder="" count="0" memberValueDatatype="2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0" memberValueDatatype="20" unbalanced="0"/>
    <cacheHierarchy uniqueName="[Fact_Ventas].[Cant_Kgs]" caption="Cant_Kgs" attribute="1" defaultMemberUniqueName="[Fact_Ventas].[Cant_Kgs].[All]" allUniqueName="[Fact_Ventas].[Cant_Kgs].[All]" dimensionUniqueName="[Fact_Ventas]" displayFolder="" count="0" memberValueDatatype="5" unbalanced="0"/>
    <cacheHierarchy uniqueName="[Fact_Ventas].[Monto]" caption="Monto" attribute="1" defaultMemberUniqueName="[Fact_Ventas].[Monto].[All]" allUniqueName="[Fact_Ventas].[Monto].[All]" dimensionUniqueName="[Fact_Ventas]" displayFolder="" count="0" memberValueDatatype="5" unbalanced="0"/>
    <cacheHierarchy uniqueName="[Measures].[Suma de Monto]" caption="Suma de Monto" measure="1" displayFolder="" measureGroup="Fact_Vent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Total Ventas]" caption="Total Ventas" measure="1" displayFolder="" measureGroup="Fact_Ventas" count="0"/>
    <cacheHierarchy uniqueName="[Measures].[Total Kgs]" caption="Total Kgs" measure="1" displayFolder="" measureGroup="Fact_Ventas" count="0"/>
    <cacheHierarchy uniqueName="[Measures].[Precio Prom x Kg]" caption="Precio Prom x Kg" measure="1" displayFolder="" measureGroup="Fact_Ventas" count="0"/>
    <cacheHierarchy uniqueName="[Measures].[Var % vs Mes Ant]" caption="Var % vs Mes Ant" measure="1" displayFolder="" measureGroup="Fact_Ventas" count="0"/>
    <cacheHierarchy uniqueName="[Measures].[Meta Ventas]" caption="Meta Ventas" measure="1" displayFolder="" measureGroup="Fact_Ventas" count="0"/>
    <cacheHierarchy uniqueName="[Measures].[Cumplimiento %]" caption="Cumplimiento %" measure="1" displayFolder="" measureGroup="Fact_Ventas" count="0"/>
    <cacheHierarchy uniqueName="[Measures].[Ventas Brutas]" caption="Ventas Brutas" measure="1" displayFolder="" measureGroup="Fact_Ventas" count="0"/>
    <cacheHierarchy uniqueName="[Measures].[Notas de Credito]" caption="Notas de Credito" measure="1" displayFolder="" measureGroup="Fact_Ventas" count="0"/>
    <cacheHierarchy uniqueName="[Measures].[__XL_Count Fact_Ventas]" caption="__XL_Count Fact_Ventas" measure="1" displayFolder="" measureGroup="Fact_Ventas" count="0" hidden="1"/>
    <cacheHierarchy uniqueName="[Measures].[__XL_Count Dim_Clientes]" caption="__XL_Count Dim_Clientes" measure="1" displayFolder="" measureGroup="Dim_Clientes" count="0" hidden="1"/>
    <cacheHierarchy uniqueName="[Measures].[__XL_Count Dim_Productos]" caption="__XL_Count Dim_Productos" measure="1" displayFolder="" measureGroup="Dim_Productos" count="0" hidden="1"/>
    <cacheHierarchy uniqueName="[Measures].[__XL_Count Dim_Vendedores]" caption="__XL_Count Dim_Vendedores" measure="1" displayFolder="" measureGroup="Dim_Vendedore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00828530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6AC339-81A1-4AFF-939D-BFD3F9E70FE6}" name="TD_Mes" cacheId="990" applyNumberFormats="0" applyBorderFormats="0" applyFontFormats="0" applyPatternFormats="0" applyAlignmentFormats="0" applyWidthHeightFormats="1" dataCaption="Valores" tag="81bac375-ee99-4343-b04d-bf3c04f55f09" updatedVersion="8" minRefreshableVersion="3" useAutoFormatting="1" itemPrintTitles="1" createdVersion="5" indent="0" outline="1" outlineData="1" multipleFieldFilters="0" chartFormat="7" rowHeaderCaption="Meses">
  <location ref="B2:E10" firstHeaderRow="0" firstDataRow="1" firstDataCol="1"/>
  <pivotFields count="5">
    <pivotField axis="axisRow" allDrilled="1" subtotalTop="0" showAll="0" sortType="ascending" defaultSubtotal="0" defaultAttributeDrillState="1">
      <items count="7">
        <item x="1"/>
        <item x="2"/>
        <item x="5"/>
        <item x="0"/>
        <item x="6"/>
        <item x="4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 numFmtId="164"/>
    <dataField fld="2" subtotal="count" baseField="0" baseItem="0"/>
    <dataField fld="3" subtotal="count" baseField="0" baseItem="0" numFmtId="9"/>
  </dataFields>
  <formats count="3">
    <format dxfId="131">
      <pivotArea outline="0" collapsedLevelsAreSubtotals="1" fieldPosition="0"/>
    </format>
    <format dxfId="1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7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lendario]"/>
        <x15:activeTabTopLevelEntity name="[Fact_Ventas]"/>
        <x15:activeTabTopLevelEntity name="[Dim_Productos]"/>
        <x15:activeTabTopLevelEntity name="[Dim_Cli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DF0D3-4F26-4B94-8660-2D06C01ABA92}" name="TD_Ciudad" cacheId="993" applyNumberFormats="0" applyBorderFormats="0" applyFontFormats="0" applyPatternFormats="0" applyAlignmentFormats="0" applyWidthHeightFormats="1" dataCaption="Valores" tag="e88dd762-29c3-4058-9c52-3dc16e3b0760" updatedVersion="8" minRefreshableVersion="3" useAutoFormatting="1" itemPrintTitles="1" createdVersion="5" indent="0" outline="1" outlineData="1" multipleFieldFilters="0" chartFormat="3" rowHeaderCaption="Ciudad">
  <location ref="G2:H13" firstHeaderRow="1" firstDataRow="1" firstDataCol="1"/>
  <pivotFields count="3">
    <pivotField allDrilled="1" subtotalTop="0" showAll="0" sortType="ascending" defaultSubtotal="0" defaultAttributeDrillState="1">
      <items count="7">
        <item x="1"/>
        <item x="2"/>
        <item x="5"/>
        <item x="0"/>
        <item x="6"/>
        <item x="4"/>
        <item x="3"/>
      </items>
    </pivotField>
    <pivotField dataField="1" subtotalTop="0" showAll="0" defaultSubtotal="0"/>
    <pivotField name="Ciudad" axis="axisRow"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 v="1"/>
    </i>
    <i>
      <x v="3"/>
    </i>
    <i>
      <x v="7"/>
    </i>
    <i>
      <x v="4"/>
    </i>
    <i>
      <x v="8"/>
    </i>
    <i>
      <x v="9"/>
    </i>
    <i>
      <x v="5"/>
    </i>
    <i>
      <x v="6"/>
    </i>
    <i>
      <x/>
    </i>
    <i>
      <x v="2"/>
    </i>
    <i t="grand">
      <x/>
    </i>
  </rowItems>
  <colItems count="1">
    <i/>
  </colItems>
  <dataFields count="1">
    <dataField fld="1" subtotal="count" baseField="0" baseItem="0" numFmtId="164"/>
  </dataFields>
  <formats count="1">
    <format dxfId="13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lendario]"/>
        <x15:activeTabTopLevelEntity name="[Fact_Ventas]"/>
        <x15:activeTabTopLevelEntity name="[Dim_Clientes]"/>
        <x15:activeTabTopLevelEntity name="[Dim_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amilia" xr10:uid="{069543C8-9F8B-4092-BD72-88C9A21CB879}" sourceName="[Dim_Productos].[Familia]">
  <pivotTables>
    <pivotTable tabId="12" name="TD_Mes"/>
    <pivotTable tabId="12" name="TD_Ciudad"/>
  </pivotTables>
  <data>
    <olap pivotCacheId="2008285302">
      <levels count="2">
        <level uniqueName="[Dim_Productos].[Familia].[(All)]" sourceCaption="(All)" count="0"/>
        <level uniqueName="[Dim_Productos].[Familia].[Familia]" sourceCaption="Familia" count="3">
          <ranges>
            <range startItem="0">
              <i n="[Dim_Productos].[Familia].&amp;[Chocolate]" c="Chocolate"/>
              <i n="[Dim_Productos].[Familia].&amp;[Panaderia]" c="Panaderia"/>
              <i n="[Dim_Productos].[Familia].&amp;[Patisserie]" c="Patisserie"/>
            </range>
          </ranges>
        </level>
      </levels>
      <selections count="1">
        <selection n="[Dim_Productos].[Famili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DAE97176-1D2B-4C2D-A68C-6352CBE1B09D}" sourceName="[Dim_Clientes].[Ciudad]">
  <pivotTables>
    <pivotTable tabId="12" name="TD_Mes"/>
    <pivotTable tabId="12" name="TD_Ciudad"/>
  </pivotTables>
  <data>
    <olap pivotCacheId="2008285302">
      <levels count="2">
        <level uniqueName="[Dim_Clientes].[Ciudad].[(All)]" sourceCaption="(All)" count="0"/>
        <level uniqueName="[Dim_Clientes].[Ciudad].[Ciudad]" sourceCaption="Ciudad" count="10">
          <ranges>
            <range startItem="0">
              <i n="[Dim_Clientes].[Ciudad].&amp;[Caleta Olivia]" c="Caleta Olivia"/>
              <i n="[Dim_Clientes].[Ciudad].&amp;[Cañadon Seco]" c="Cañadon Seco"/>
              <i n="[Dim_Clientes].[Ciudad].&amp;[Comodoro Rivadavia]" c="Comodoro Rivadavia"/>
              <i n="[Dim_Clientes].[Ciudad].&amp;[Las Heras]" c="Las Heras"/>
              <i n="[Dim_Clientes].[Ciudad].&amp;[Los Antiguos]" c="Los Antiguos"/>
              <i n="[Dim_Clientes].[Ciudad].&amp;[Pico Truncado]" c="Pico Truncado"/>
              <i n="[Dim_Clientes].[Ciudad].&amp;[Puerto Deseado]" c="Puerto Deseado"/>
              <i n="[Dim_Clientes].[Ciudad].&amp;[Puerto San Julian]" c="Puerto San Julian"/>
              <i n="[Dim_Clientes].[Ciudad].&amp;[Rada Tilly]" c="Rada Tilly"/>
              <i n="[Dim_Clientes].[Ciudad].&amp;[Sarmiento]" c="Sarmiento"/>
            </range>
          </ranges>
        </level>
      </levels>
      <selections count="1">
        <selection n="[Dim_Clientes].[Ciudad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ro_Mes" xr10:uid="{2908A1C3-9381-47C3-8CF0-414C6B5525E3}" sourceName="[Dim_Calendario].[Nro_Mes]">
  <pivotTables>
    <pivotTable tabId="12" name="TD_Ciudad"/>
    <pivotTable tabId="12" name="TD_Mes"/>
  </pivotTables>
  <data>
    <olap pivotCacheId="2008285302">
      <levels count="2">
        <level uniqueName="[Dim_Calendario].[Nro_Mes].[(All)]" sourceCaption="(All)" count="0"/>
        <level uniqueName="[Dim_Calendario].[Nro_Mes].[Nro_Mes]" sourceCaption="Nro_Mes" count="12">
          <ranges>
            <range startItem="0">
              <i n="[Dim_Calendario].[Nro_Mes].&amp;[1]" c="1"/>
              <i n="[Dim_Calendario].[Nro_Mes].&amp;[2]" c="2"/>
              <i n="[Dim_Calendario].[Nro_Mes].&amp;[3]" c="3"/>
              <i n="[Dim_Calendario].[Nro_Mes].&amp;[4]" c="4"/>
              <i n="[Dim_Calendario].[Nro_Mes].&amp;[5]" c="5"/>
              <i n="[Dim_Calendario].[Nro_Mes].&amp;[6]" c="6"/>
              <i n="[Dim_Calendario].[Nro_Mes].&amp;[7]" c="7"/>
              <i n="[Dim_Calendario].[Nro_Mes].&amp;[8]" c="8" nd="1"/>
              <i n="[Dim_Calendario].[Nro_Mes].&amp;[9]" c="9" nd="1"/>
              <i n="[Dim_Calendario].[Nro_Mes].&amp;[10]" c="10" nd="1"/>
              <i n="[Dim_Calendario].[Nro_Mes].&amp;[11]" c="11" nd="1"/>
              <i n="[Dim_Calendario].[Nro_Mes].&amp;[12]" c="12" nd="1"/>
            </range>
          </ranges>
        </level>
      </levels>
      <selections count="1">
        <selection n="[Dim_Calendario].[Nro_Mes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Dim_Calendario].[Nro_Mes].[Nro_Mes]" count="5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milia" xr10:uid="{900D9B1B-1585-42D9-8225-0152956447E0}" cache="SegmentaciónDeDatos_Familia" caption="Familia" level="1" style="SlicerStyleOther1" rowHeight="180000"/>
  <slicer name="Ciudad" xr10:uid="{AC491A2E-8B53-4435-924F-7769839E94AF}" cache="SegmentaciónDeDatos_Ciudad" caption="Ciudad" columnCount="2" level="1" style="SlicerStyleOther1" rowHeight="144000"/>
  <slicer name="Nro_Mes" xr10:uid="{CC64FF0C-6B2C-431D-A827-9F130DBD99ED}" cache="SegmentaciónDeDatos_Nro_Mes" caption="Mes" columnCount="3" level="1" style="SlicerStyleOther1" rowHeight="14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BD4043-E751-4FB3-8D1A-C6D6C0FEDCAB}" name="tbl_Ruta" displayName="tbl_Ruta" ref="A1:A2" totalsRowShown="0" headerRowDxfId="133">
  <autoFilter ref="A1:A2" xr:uid="{B3BD4043-E751-4FB3-8D1A-C6D6C0FEDCAB}"/>
  <tableColumns count="1">
    <tableColumn id="1" xr3:uid="{0455B49A-70FA-4ED9-88CB-E579B5E6BBE6}" name="Ruta">
      <calculatedColumnFormula array="1">LEFT(CELL("nombrearchivo",A1),SEARCH("[",CELL("nombrearchivo",A1))-1)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41E0-36AE-489F-91DB-9156CCDF1E5C}">
  <dimension ref="A1:R34"/>
  <sheetViews>
    <sheetView showGridLines="0" tabSelected="1" zoomScaleNormal="100" workbookViewId="0"/>
  </sheetViews>
  <sheetFormatPr baseColWidth="10" defaultColWidth="0" defaultRowHeight="15" zeroHeight="1"/>
  <cols>
    <col min="1" max="1" width="7" style="6" customWidth="1"/>
    <col min="2" max="24" width="11.42578125" style="6" customWidth="1"/>
    <col min="25" max="16384" width="11.42578125" style="6" hidden="1"/>
  </cols>
  <sheetData>
    <row r="1" spans="1:17" ht="15" customHeight="1">
      <c r="B1" s="40" t="s">
        <v>52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15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3" spans="1:17">
      <c r="B3" s="41" t="str">
        <f>Soporte_Dashboard!Q14&amp;" 2026 · Venta neta $ "&amp;TEXT(Soporte_Dashboard!N3/1000000,"0,0")&amp;" M · "&amp;TEXT(Soporte_Dashboard!N5,"0%")&amp;" de la meta"</f>
        <v>Enero–Julio (7 meses) 2026 · Venta neta $ 218,2 M · 87% de la meta</v>
      </c>
    </row>
    <row r="4" spans="1:17" ht="9" customHeight="1"/>
    <row r="5" spans="1:17">
      <c r="B5" s="16" t="s">
        <v>26</v>
      </c>
      <c r="C5" s="17"/>
      <c r="D5" s="18"/>
      <c r="F5" s="16" t="s">
        <v>33</v>
      </c>
      <c r="G5" s="17"/>
      <c r="H5" s="18"/>
      <c r="J5" s="16" t="s">
        <v>34</v>
      </c>
      <c r="K5" s="17"/>
      <c r="L5" s="18"/>
      <c r="N5" s="16" t="s">
        <v>36</v>
      </c>
      <c r="O5" s="17"/>
      <c r="P5" s="18"/>
    </row>
    <row r="6" spans="1:17" ht="21.75" customHeight="1">
      <c r="B6" s="19" vm="3">
        <f>Soporte_Dashboard!$N$3</f>
        <v>218208105.25</v>
      </c>
      <c r="C6" s="20"/>
      <c r="D6" s="21"/>
      <c r="F6" s="23">
        <f>Soporte_Dashboard!$N$5</f>
        <v>0.87283242110473991</v>
      </c>
      <c r="G6" s="24"/>
      <c r="H6" s="25"/>
      <c r="J6" s="19" vm="5">
        <f>Soporte_Dashboard!$N$6</f>
        <v>8889.6898603449863</v>
      </c>
      <c r="K6" s="20"/>
      <c r="L6" s="21"/>
      <c r="N6" s="23">
        <f>Soporte_Dashboard!N7</f>
        <v>3.0944375261219403E-2</v>
      </c>
      <c r="O6" s="24"/>
      <c r="P6" s="25"/>
    </row>
    <row r="7" spans="1:17">
      <c r="B7" s="22" t="s">
        <v>35</v>
      </c>
      <c r="C7" s="14"/>
      <c r="D7" s="15"/>
      <c r="F7" s="22" t="str">
        <f>"Meta: $ "&amp;TEXT(Soporte_Dashboard!$N$4/1000000,"0,0")&amp;" M"</f>
        <v>Meta: $ 250,0 M</v>
      </c>
      <c r="G7" s="14"/>
      <c r="H7" s="15"/>
      <c r="J7" s="22" t="s">
        <v>38</v>
      </c>
      <c r="K7" s="14"/>
      <c r="L7" s="15"/>
      <c r="N7" s="22" t="s">
        <v>37</v>
      </c>
      <c r="O7" s="14"/>
      <c r="P7" s="15"/>
    </row>
    <row r="8" spans="1:17" ht="12" customHeight="1"/>
    <row r="9" spans="1:17"/>
    <row r="10" spans="1:17"/>
    <row r="11" spans="1:17"/>
    <row r="12" spans="1:17"/>
    <row r="13" spans="1:17"/>
    <row r="14" spans="1:17"/>
    <row r="15" spans="1:17"/>
    <row r="16" spans="1:17"/>
    <row r="17" spans="1:18"/>
    <row r="18" spans="1:18"/>
    <row r="19" spans="1:18"/>
    <row r="20" spans="1:18" ht="15.75" thickBot="1"/>
    <row r="21" spans="1:18">
      <c r="L21" s="38" t="s">
        <v>48</v>
      </c>
      <c r="M21" s="36"/>
      <c r="N21" s="36"/>
      <c r="O21" s="29"/>
      <c r="P21" s="29"/>
      <c r="Q21" s="29"/>
      <c r="R21" s="30"/>
    </row>
    <row r="22" spans="1:18">
      <c r="L22" s="31"/>
      <c r="M22" s="13"/>
      <c r="N22" s="13"/>
      <c r="O22" s="13"/>
      <c r="P22" s="13"/>
      <c r="Q22" s="13"/>
      <c r="R22" s="32"/>
    </row>
    <row r="23" spans="1:18">
      <c r="L23" s="37" t="str">
        <f>Soporte_Dashboard!Q10</f>
        <v>2 de 7 meses superan la meta, con pico en Marzo</v>
      </c>
      <c r="M23" s="13"/>
      <c r="N23" s="13"/>
      <c r="O23" s="13"/>
      <c r="P23" s="13"/>
      <c r="Q23" s="13"/>
      <c r="R23" s="32"/>
    </row>
    <row r="24" spans="1:18">
      <c r="L24" s="31"/>
      <c r="M24" s="13"/>
      <c r="N24" s="13"/>
      <c r="O24" s="13"/>
      <c r="P24" s="13"/>
      <c r="Q24" s="13"/>
      <c r="R24" s="32"/>
    </row>
    <row r="25" spans="1:18" ht="15" customHeight="1">
      <c r="A25" s="42"/>
      <c r="B25" s="43"/>
      <c r="C25" s="43"/>
      <c r="D25" s="43"/>
      <c r="L25" s="37" t="str">
        <f>Soporte_Dashboard!Q11</f>
        <v>Comodoro Rivadavia concentra el 37% de la venta</v>
      </c>
      <c r="M25" s="13"/>
      <c r="N25" s="13"/>
      <c r="O25" s="13"/>
      <c r="P25" s="13"/>
      <c r="Q25" s="13"/>
      <c r="R25" s="32"/>
    </row>
    <row r="26" spans="1:18">
      <c r="A26" s="43"/>
      <c r="B26" s="43"/>
      <c r="C26" s="43"/>
      <c r="D26" s="43"/>
      <c r="L26" s="31"/>
      <c r="M26" s="13"/>
      <c r="N26" s="13"/>
      <c r="O26" s="13"/>
      <c r="P26" s="13"/>
      <c r="Q26" s="13"/>
      <c r="R26" s="32"/>
    </row>
    <row r="27" spans="1:18">
      <c r="A27" s="43"/>
      <c r="B27" s="43"/>
      <c r="C27" s="43"/>
      <c r="D27" s="43"/>
      <c r="L27" s="37" t="str">
        <f>Soporte_Dashboard!Q12</f>
        <v>De cada $100 vendidos, quedan $34 de margen bruto</v>
      </c>
      <c r="M27" s="13"/>
      <c r="N27" s="13"/>
      <c r="O27" s="13"/>
      <c r="P27" s="13"/>
      <c r="Q27" s="13"/>
      <c r="R27" s="32"/>
    </row>
    <row r="28" spans="1:18" ht="15.75" thickBot="1">
      <c r="A28" s="43"/>
      <c r="B28" s="43"/>
      <c r="C28" s="43"/>
      <c r="D28" s="43"/>
      <c r="L28" s="33"/>
      <c r="M28" s="34"/>
      <c r="N28" s="34"/>
      <c r="O28" s="34"/>
      <c r="P28" s="34"/>
      <c r="Q28" s="34"/>
      <c r="R28" s="35"/>
    </row>
    <row r="29" spans="1:18"/>
    <row r="30" spans="1:18"/>
    <row r="33" s="6" customFormat="1" hidden="1"/>
    <row r="34" s="6" customFormat="1" hidden="1"/>
  </sheetData>
  <mergeCells count="9">
    <mergeCell ref="B1:Q2"/>
    <mergeCell ref="J5:L5"/>
    <mergeCell ref="F5:H5"/>
    <mergeCell ref="B5:D5"/>
    <mergeCell ref="N5:P5"/>
    <mergeCell ref="B6:D6"/>
    <mergeCell ref="F6:H6"/>
    <mergeCell ref="J6:L6"/>
    <mergeCell ref="N6:P6"/>
  </mergeCells>
  <conditionalFormatting sqref="F6:H6">
    <cfRule type="cellIs" dxfId="2" priority="4" operator="lessThan">
      <formula>1</formula>
    </cfRule>
  </conditionalFormatting>
  <conditionalFormatting sqref="N6:P6">
    <cfRule type="cellIs" dxfId="1" priority="2" operator="greaterThan">
      <formula>0.0309</formula>
    </cfRule>
    <cfRule type="cellIs" dxfId="0" priority="3" operator="greaterThan">
      <formula>"0.03"</formula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5B0B-761C-45FD-804D-5565EA101DD1}">
  <dimension ref="B2:Q14"/>
  <sheetViews>
    <sheetView topLeftCell="I1" workbookViewId="0">
      <selection activeCell="N8" sqref="N8"/>
    </sheetView>
  </sheetViews>
  <sheetFormatPr baseColWidth="10" defaultRowHeight="15"/>
  <cols>
    <col min="2" max="2" width="12.5703125" bestFit="1" customWidth="1"/>
    <col min="3" max="4" width="14" bestFit="1" customWidth="1"/>
    <col min="5" max="5" width="16.140625" bestFit="1" customWidth="1"/>
    <col min="7" max="7" width="19.42578125" bestFit="1" customWidth="1"/>
    <col min="8" max="8" width="14" bestFit="1" customWidth="1"/>
    <col min="10" max="10" width="31" bestFit="1" customWidth="1"/>
    <col min="11" max="11" width="14" bestFit="1" customWidth="1"/>
    <col min="13" max="13" width="15.85546875" bestFit="1" customWidth="1"/>
    <col min="14" max="14" width="20.5703125" bestFit="1" customWidth="1"/>
    <col min="16" max="16" width="21.42578125" bestFit="1" customWidth="1"/>
    <col min="17" max="17" width="19.7109375" bestFit="1" customWidth="1"/>
  </cols>
  <sheetData>
    <row r="2" spans="2:17">
      <c r="B2" s="2" t="s">
        <v>11</v>
      </c>
      <c r="C2" t="s">
        <v>9</v>
      </c>
      <c r="D2" t="s">
        <v>13</v>
      </c>
      <c r="E2" t="s">
        <v>14</v>
      </c>
      <c r="G2" s="2" t="s">
        <v>12</v>
      </c>
      <c r="H2" t="s">
        <v>9</v>
      </c>
      <c r="J2" s="5" t="s">
        <v>47</v>
      </c>
      <c r="M2" s="5" t="s">
        <v>46</v>
      </c>
      <c r="P2" s="5" t="s">
        <v>45</v>
      </c>
    </row>
    <row r="3" spans="2:17">
      <c r="B3" s="7" t="s">
        <v>1</v>
      </c>
      <c r="C3" s="3">
        <v>21780524.219999999</v>
      </c>
      <c r="D3" s="3">
        <v>35714285.710000001</v>
      </c>
      <c r="E3" s="4">
        <v>0.60985467823318251</v>
      </c>
      <c r="G3" s="7" t="s">
        <v>15</v>
      </c>
      <c r="H3" s="3">
        <v>60415.32</v>
      </c>
      <c r="J3" s="10" t="s">
        <v>25</v>
      </c>
      <c r="K3" s="8" vm="1">
        <f>CUBEVALUE("ThisWorkbookDataModel","[Measures].[Ventas Brutas]",SegmentaciónDeDatos_Familia,SegmentaciónDeDatos_Ciudad,SegmentaciónDeDatos_Nro_Mes)</f>
        <v>225176037.03999999</v>
      </c>
      <c r="M3" s="10" t="s">
        <v>26</v>
      </c>
      <c r="N3" s="8" vm="3">
        <f>CUBEVALUE("ThisWorkbookDataModel","[Measures].[Total Ventas]",SegmentaciónDeDatos_Familia,SegmentaciónDeDatos_Ciudad,SegmentaciónDeDatos_Nro_Mes)</f>
        <v>218208105.25</v>
      </c>
      <c r="P3" s="27" t="s">
        <v>39</v>
      </c>
      <c r="Q3" s="26">
        <f>COUNTIFS(E:E,"&gt;0",B:B,"&lt;&gt;Total general")</f>
        <v>7</v>
      </c>
    </row>
    <row r="4" spans="2:17">
      <c r="B4" s="7" t="s">
        <v>2</v>
      </c>
      <c r="C4" s="3">
        <v>39902338.130000003</v>
      </c>
      <c r="D4" s="3">
        <v>35714285.710000001</v>
      </c>
      <c r="E4" s="4">
        <v>1.1172654677740719</v>
      </c>
      <c r="G4" s="7" t="s">
        <v>16</v>
      </c>
      <c r="H4" s="3">
        <v>162994.35</v>
      </c>
      <c r="J4" s="10" t="s">
        <v>27</v>
      </c>
      <c r="K4" s="8" vm="2">
        <f>CUBEVALUE("ThisWorkbookDataModel","[Measures].[Notas de Credito]",SegmentaciónDeDatos_Familia,SegmentaciónDeDatos_Ciudad,SegmentaciónDeDatos_Nro_Mes)</f>
        <v>-6967931.79</v>
      </c>
      <c r="M4" s="10" t="s">
        <v>29</v>
      </c>
      <c r="N4" s="8" vm="4">
        <f>CUBEVALUE("ThisWorkbookDataModel","[Measures].[Meta Ventas]",SegmentaciónDeDatos_Familia,SegmentaciónDeDatos_Ciudad,SegmentaciónDeDatos_Nro_Mes)</f>
        <v>249999999.97</v>
      </c>
      <c r="P4" s="27" t="s">
        <v>40</v>
      </c>
      <c r="Q4" s="26">
        <f>COUNTIFS(E:E,"&gt;=1",B:B,"&lt;&gt;Total general")</f>
        <v>2</v>
      </c>
    </row>
    <row r="5" spans="2:17">
      <c r="B5" s="7" t="s">
        <v>3</v>
      </c>
      <c r="C5" s="3">
        <v>47783921.020000003</v>
      </c>
      <c r="D5" s="3">
        <v>35714285.710000001</v>
      </c>
      <c r="E5" s="4">
        <v>1.337949788720554</v>
      </c>
      <c r="G5" s="7" t="s">
        <v>17</v>
      </c>
      <c r="H5" s="3">
        <v>256014.96</v>
      </c>
      <c r="J5" s="11" t="s">
        <v>26</v>
      </c>
      <c r="K5" s="9">
        <f>+K4+K3</f>
        <v>218208105.25</v>
      </c>
      <c r="M5" s="11" t="s">
        <v>30</v>
      </c>
      <c r="N5" s="12">
        <f>+N3/N4</f>
        <v>0.87283242110473991</v>
      </c>
      <c r="P5" s="27" t="s">
        <v>41</v>
      </c>
      <c r="Q5" s="28">
        <f>_xlfn.MAXIFS(C:C,B:B,"&lt;&gt;Total general")</f>
        <v>47783921.020000003</v>
      </c>
    </row>
    <row r="6" spans="2:17">
      <c r="B6" s="7" t="s">
        <v>4</v>
      </c>
      <c r="C6" s="3">
        <v>21130082.32</v>
      </c>
      <c r="D6" s="3">
        <v>35714285.710000001</v>
      </c>
      <c r="E6" s="4">
        <v>0.59164230503099702</v>
      </c>
      <c r="G6" s="7" t="s">
        <v>18</v>
      </c>
      <c r="H6" s="3">
        <v>443991.35</v>
      </c>
      <c r="J6" s="10" t="s">
        <v>28</v>
      </c>
      <c r="K6" s="8">
        <f>-K5*0.65</f>
        <v>-141835268.41249999</v>
      </c>
      <c r="M6" s="10" t="s">
        <v>31</v>
      </c>
      <c r="N6" s="8" vm="5">
        <f>CUBEVALUE("ThisWorkbookDataModel","[Measures].[Precio Prom x Kg]",SegmentaciónDeDatos_Familia,SegmentaciónDeDatos_Ciudad,SegmentaciónDeDatos_Nro_Mes)</f>
        <v>8889.6898603449863</v>
      </c>
      <c r="P6" s="27" t="s">
        <v>42</v>
      </c>
      <c r="Q6" s="26" t="str">
        <f>INDEX(B:B,MATCH(Q5,C:C,0))</f>
        <v>Marzo</v>
      </c>
    </row>
    <row r="7" spans="2:17">
      <c r="B7" s="7" t="s">
        <v>5</v>
      </c>
      <c r="C7" s="3">
        <v>29420374.300000001</v>
      </c>
      <c r="D7" s="3">
        <v>35714285.710000001</v>
      </c>
      <c r="E7" s="4">
        <v>0.82377048049885249</v>
      </c>
      <c r="G7" s="7" t="s">
        <v>19</v>
      </c>
      <c r="H7" s="3">
        <v>11857139.6</v>
      </c>
      <c r="J7" s="10" t="s">
        <v>10</v>
      </c>
      <c r="K7" s="3">
        <f>+K5+K6</f>
        <v>76372836.837500006</v>
      </c>
      <c r="M7" s="10" t="s">
        <v>32</v>
      </c>
      <c r="N7" s="12">
        <f>IFERROR(-K4/K3,"Sin NC")</f>
        <v>3.0944375261219403E-2</v>
      </c>
      <c r="P7" s="27" t="s">
        <v>43</v>
      </c>
      <c r="Q7" s="28">
        <f>_xlfn.MAXIFS(H:H,G:G,"&lt;&gt;Total general")</f>
        <v>80757229.400000006</v>
      </c>
    </row>
    <row r="8" spans="2:17">
      <c r="B8" s="7" t="s">
        <v>6</v>
      </c>
      <c r="C8" s="3">
        <v>29407932.84</v>
      </c>
      <c r="D8" s="3">
        <v>35714285.710000001</v>
      </c>
      <c r="E8" s="4">
        <v>0.82342211961881062</v>
      </c>
      <c r="G8" s="7" t="s">
        <v>20</v>
      </c>
      <c r="H8" s="3">
        <v>19207346.82</v>
      </c>
      <c r="P8" s="27" t="s">
        <v>44</v>
      </c>
      <c r="Q8" s="26" t="str">
        <f>INDEX(G:G,MATCH(Q7,H:H,0))</f>
        <v>Comodoro Rivadavia</v>
      </c>
    </row>
    <row r="9" spans="2:17">
      <c r="B9" s="7" t="s">
        <v>7</v>
      </c>
      <c r="C9" s="3">
        <v>28782932.420000002</v>
      </c>
      <c r="D9" s="3">
        <v>35714285.710000001</v>
      </c>
      <c r="E9" s="4">
        <v>0.8059221078567107</v>
      </c>
      <c r="G9" s="7" t="s">
        <v>21</v>
      </c>
      <c r="H9" s="3">
        <v>26530901.18</v>
      </c>
    </row>
    <row r="10" spans="2:17">
      <c r="B10" s="7" t="s">
        <v>8</v>
      </c>
      <c r="C10" s="3">
        <v>218208105.25</v>
      </c>
      <c r="D10" s="3">
        <v>249999999.97</v>
      </c>
      <c r="E10" s="4">
        <v>0.87283242110473991</v>
      </c>
      <c r="G10" s="7" t="s">
        <v>22</v>
      </c>
      <c r="H10" s="3">
        <v>35479799</v>
      </c>
      <c r="P10" s="27" t="s">
        <v>49</v>
      </c>
      <c r="Q10" t="str">
        <f>IF(Q4=0,"Ningún mes alcanza la meta en la selección",Q4&amp;" de "&amp;Q3&amp;" meses superan la meta, con pico en "&amp;Q6)</f>
        <v>2 de 7 meses superan la meta, con pico en Marzo</v>
      </c>
    </row>
    <row r="11" spans="2:17">
      <c r="G11" s="7" t="s">
        <v>23</v>
      </c>
      <c r="H11" s="3">
        <v>43452273.270000003</v>
      </c>
      <c r="P11" s="27" t="s">
        <v>50</v>
      </c>
      <c r="Q11" t="str">
        <f>Q8&amp;" concentra el "&amp;TEXT(Q7/VLOOKUP("Total general",G:H,2,0),"0%")&amp;" de la venta"</f>
        <v>Comodoro Rivadavia concentra el 37% de la venta</v>
      </c>
    </row>
    <row r="12" spans="2:17">
      <c r="G12" s="7" t="s">
        <v>24</v>
      </c>
      <c r="H12" s="3">
        <v>80757229.400000006</v>
      </c>
      <c r="P12" s="27" t="s">
        <v>51</v>
      </c>
      <c r="Q12" t="str">
        <f>"De cada $100 vendidos, quedan $"&amp;TEXT(K7/K3*100,"0")&amp;" de margen bruto"</f>
        <v>De cada $100 vendidos, quedan $34 de margen bruto</v>
      </c>
    </row>
    <row r="13" spans="2:17">
      <c r="G13" s="7" t="s">
        <v>8</v>
      </c>
      <c r="H13" s="3">
        <v>218208105.25</v>
      </c>
    </row>
    <row r="14" spans="2:17">
      <c r="Q14" t="str" cm="1">
        <f t="array" ref="Q14">IF(Q3=1,B3,B3&amp;"–"&amp;INDEX(B:B,2+Q3)&amp;" ("&amp;Q3&amp;" meses)")</f>
        <v>Enero–Julio (7 meses)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596C-568C-4DAB-89F6-464EEEC5BD42}">
  <dimension ref="A1:A2"/>
  <sheetViews>
    <sheetView workbookViewId="0">
      <selection sqref="A1:A2"/>
    </sheetView>
  </sheetViews>
  <sheetFormatPr baseColWidth="10" defaultRowHeight="15"/>
  <sheetData>
    <row r="1" spans="1:1">
      <c r="A1" s="1" t="s">
        <v>0</v>
      </c>
    </row>
    <row r="2" spans="1:1">
      <c r="A2" t="str" cm="1">
        <f t="array" aca="1" ref="A2" ca="1">LEFT(CELL("nombrearchivo",A1),SEARCH("[",CELL("nombrearchivo",A1))-1)</f>
        <v>C:\Users\z\Desktop\Curso\1 Excel\9. Modulo 9\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DAFBB891-4341-4224-B119-6A365868B4DE}">
  <ds:schemaRefs/>
</ds:datastoreItem>
</file>

<file path=customXml/itemProps2.xml><?xml version="1.0" encoding="utf-8"?>
<ds:datastoreItem xmlns:ds="http://schemas.openxmlformats.org/officeDocument/2006/customXml" ds:itemID="{8E769948-57C6-47F1-B2E3-B8D76F1F1D2C}">
  <ds:schemaRefs/>
</ds:datastoreItem>
</file>

<file path=customXml/itemProps3.xml><?xml version="1.0" encoding="utf-8"?>
<ds:datastoreItem xmlns:ds="http://schemas.openxmlformats.org/officeDocument/2006/customXml" ds:itemID="{94EE2648-FB6C-409A-A41C-F8E45CD96A6F}">
  <ds:schemaRefs/>
</ds:datastoreItem>
</file>

<file path=customXml/itemProps4.xml><?xml version="1.0" encoding="utf-8"?>
<ds:datastoreItem xmlns:ds="http://schemas.openxmlformats.org/officeDocument/2006/customXml" ds:itemID="{7C4CE212-B4FD-4373-96EE-E53CB5FC1D38}">
  <ds:schemaRefs/>
</ds:datastoreItem>
</file>

<file path=customXml/itemProps5.xml><?xml version="1.0" encoding="utf-8"?>
<ds:datastoreItem xmlns:ds="http://schemas.openxmlformats.org/officeDocument/2006/customXml" ds:itemID="{11B82D5E-1950-4B59-BD5C-2CB2BC908A3D}">
  <ds:schemaRefs/>
</ds:datastoreItem>
</file>

<file path=customXml/itemProps6.xml><?xml version="1.0" encoding="utf-8"?>
<ds:datastoreItem xmlns:ds="http://schemas.openxmlformats.org/officeDocument/2006/customXml" ds:itemID="{7EA83ABB-E7E1-4DAC-943E-EE9CF971BD1D}">
  <ds:schemaRefs/>
</ds:datastoreItem>
</file>

<file path=customXml/itemProps7.xml><?xml version="1.0" encoding="utf-8"?>
<ds:datastoreItem xmlns:ds="http://schemas.openxmlformats.org/officeDocument/2006/customXml" ds:itemID="{BE163E19-D8F3-4D58-933D-C7F5AF593E4E}">
  <ds:schemaRefs/>
</ds:datastoreItem>
</file>

<file path=customXml/itemProps8.xml><?xml version="1.0" encoding="utf-8"?>
<ds:datastoreItem xmlns:ds="http://schemas.openxmlformats.org/officeDocument/2006/customXml" ds:itemID="{52EA0CB6-DADB-4598-8F52-0C79450DC3A9}">
  <ds:schemaRefs/>
</ds:datastoreItem>
</file>

<file path=customXml/itemProps9.xml><?xml version="1.0" encoding="utf-8"?>
<ds:datastoreItem xmlns:ds="http://schemas.openxmlformats.org/officeDocument/2006/customXml" ds:itemID="{F7536B43-CA20-40D9-AD00-9D7C60466472}">
  <ds:schemaRefs/>
</ds:datastoreItem>
</file>

<file path=customXml/itemProps10.xml><?xml version="1.0" encoding="utf-8"?>
<ds:datastoreItem xmlns:ds="http://schemas.openxmlformats.org/officeDocument/2006/customXml" ds:itemID="{2648D70A-FC8F-4BB9-8CB2-478333523807}">
  <ds:schemaRefs/>
</ds:datastoreItem>
</file>

<file path=customXml/itemProps11.xml><?xml version="1.0" encoding="utf-8"?>
<ds:datastoreItem xmlns:ds="http://schemas.openxmlformats.org/officeDocument/2006/customXml" ds:itemID="{2C70A695-CFDF-4092-92D8-1A9F10016B1B}">
  <ds:schemaRefs/>
</ds:datastoreItem>
</file>

<file path=customXml/itemProps12.xml><?xml version="1.0" encoding="utf-8"?>
<ds:datastoreItem xmlns:ds="http://schemas.openxmlformats.org/officeDocument/2006/customXml" ds:itemID="{CECEB1AB-68E8-43BB-9325-9456B5079D76}">
  <ds:schemaRefs/>
</ds:datastoreItem>
</file>

<file path=customXml/itemProps13.xml><?xml version="1.0" encoding="utf-8"?>
<ds:datastoreItem xmlns:ds="http://schemas.openxmlformats.org/officeDocument/2006/customXml" ds:itemID="{EEA7E4D1-4608-4A06-BAC9-8F1CDCFBA669}">
  <ds:schemaRefs/>
</ds:datastoreItem>
</file>

<file path=customXml/itemProps14.xml><?xml version="1.0" encoding="utf-8"?>
<ds:datastoreItem xmlns:ds="http://schemas.openxmlformats.org/officeDocument/2006/customXml" ds:itemID="{B600828D-6634-463B-9EF2-187785D70DBC}">
  <ds:schemaRefs/>
</ds:datastoreItem>
</file>

<file path=customXml/itemProps15.xml><?xml version="1.0" encoding="utf-8"?>
<ds:datastoreItem xmlns:ds="http://schemas.openxmlformats.org/officeDocument/2006/customXml" ds:itemID="{50159C15-CD25-4E30-B451-AD9D89E0D9D3}">
  <ds:schemaRefs/>
</ds:datastoreItem>
</file>

<file path=customXml/itemProps16.xml><?xml version="1.0" encoding="utf-8"?>
<ds:datastoreItem xmlns:ds="http://schemas.openxmlformats.org/officeDocument/2006/customXml" ds:itemID="{FCDFEA32-5ADC-447B-B215-BA32278D0A36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AA64062A-605A-4FF7-96D1-B4E708DBC66C}">
  <ds:schemaRefs/>
</ds:datastoreItem>
</file>

<file path=customXml/itemProps18.xml><?xml version="1.0" encoding="utf-8"?>
<ds:datastoreItem xmlns:ds="http://schemas.openxmlformats.org/officeDocument/2006/customXml" ds:itemID="{50B65500-839D-4261-906A-A003704C22F1}">
  <ds:schemaRefs/>
</ds:datastoreItem>
</file>

<file path=customXml/itemProps19.xml><?xml version="1.0" encoding="utf-8"?>
<ds:datastoreItem xmlns:ds="http://schemas.openxmlformats.org/officeDocument/2006/customXml" ds:itemID="{32AE1836-88AF-490A-BC46-F0987D9B052D}">
  <ds:schemaRefs/>
</ds:datastoreItem>
</file>

<file path=customXml/itemProps20.xml><?xml version="1.0" encoding="utf-8"?>
<ds:datastoreItem xmlns:ds="http://schemas.openxmlformats.org/officeDocument/2006/customXml" ds:itemID="{44DB751B-0CA1-4B51-BFD1-1D71A2AFA28B}">
  <ds:schemaRefs/>
</ds:datastoreItem>
</file>

<file path=customXml/itemProps21.xml><?xml version="1.0" encoding="utf-8"?>
<ds:datastoreItem xmlns:ds="http://schemas.openxmlformats.org/officeDocument/2006/customXml" ds:itemID="{C55ED95D-FC99-4296-B364-FD95B1654E56}">
  <ds:schemaRefs/>
</ds:datastoreItem>
</file>

<file path=customXml/itemProps22.xml><?xml version="1.0" encoding="utf-8"?>
<ds:datastoreItem xmlns:ds="http://schemas.openxmlformats.org/officeDocument/2006/customXml" ds:itemID="{AE40B1FB-4978-4D6F-844B-DCC103D0FC4A}">
  <ds:schemaRefs/>
</ds:datastoreItem>
</file>

<file path=customXml/itemProps23.xml><?xml version="1.0" encoding="utf-8"?>
<ds:datastoreItem xmlns:ds="http://schemas.openxmlformats.org/officeDocument/2006/customXml" ds:itemID="{67778ED7-1002-4783-B11B-2D0AAF49411C}">
  <ds:schemaRefs/>
</ds:datastoreItem>
</file>

<file path=customXml/itemProps24.xml><?xml version="1.0" encoding="utf-8"?>
<ds:datastoreItem xmlns:ds="http://schemas.openxmlformats.org/officeDocument/2006/customXml" ds:itemID="{876FB984-DA62-4FDF-BD52-E356C8A309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 Final</vt:lpstr>
      <vt:lpstr>Soporte_Dashboard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Bastianelli</dc:creator>
  <cp:lastModifiedBy>Augusto Bastianelli</cp:lastModifiedBy>
  <dcterms:created xsi:type="dcterms:W3CDTF">2026-10-01T15:15:06Z</dcterms:created>
  <dcterms:modified xsi:type="dcterms:W3CDTF">2026-10-01T21:44:57Z</dcterms:modified>
</cp:coreProperties>
</file>